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jsong33\Desktop\Research\FIM\FLDPLN_FIM\Amite_h15_dh1_Resample\FloodMaps\Map_Aug2016\Tools\"/>
    </mc:Choice>
  </mc:AlternateContent>
  <xr:revisionPtr revIDLastSave="0" documentId="13_ncr:1_{708C1156-D554-461E-BF77-07BD71AADB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vailable" sheetId="4" r:id="rId1"/>
    <sheet name="All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6" i="3" l="1"/>
  <c r="K53" i="3"/>
  <c r="K52" i="3"/>
  <c r="K50" i="3"/>
  <c r="K49" i="3"/>
  <c r="K46" i="3"/>
  <c r="K45" i="3"/>
  <c r="K44" i="3"/>
  <c r="K43" i="3"/>
  <c r="K42" i="3"/>
  <c r="K39" i="3"/>
  <c r="K38" i="3"/>
  <c r="K37" i="3"/>
  <c r="K35" i="3"/>
  <c r="K32" i="3"/>
  <c r="K30" i="3"/>
  <c r="K29" i="3"/>
  <c r="K28" i="3"/>
  <c r="K27" i="3"/>
  <c r="K26" i="3"/>
  <c r="K25" i="3"/>
  <c r="K24" i="3"/>
  <c r="K22" i="3"/>
  <c r="K18" i="3"/>
  <c r="K17" i="3"/>
  <c r="K14" i="3"/>
  <c r="K11" i="3"/>
  <c r="K10" i="3"/>
  <c r="K7" i="3"/>
  <c r="K6" i="3"/>
  <c r="K5" i="3"/>
  <c r="K4" i="3"/>
  <c r="K2" i="3"/>
</calcChain>
</file>

<file path=xl/sharedStrings.xml><?xml version="1.0" encoding="utf-8"?>
<sst xmlns="http://schemas.openxmlformats.org/spreadsheetml/2006/main" count="412" uniqueCount="115">
  <si>
    <t>stationid</t>
  </si>
  <si>
    <t>x</t>
  </si>
  <si>
    <t>y</t>
  </si>
  <si>
    <t>stage_elevation</t>
  </si>
  <si>
    <t>stage</t>
  </si>
  <si>
    <t>ST</t>
  </si>
  <si>
    <t>NAVD88</t>
  </si>
  <si>
    <t>name</t>
  </si>
  <si>
    <t>organization</t>
  </si>
  <si>
    <t>stype</t>
  </si>
  <si>
    <t>datum_elevation</t>
  </si>
  <si>
    <t>vdatum</t>
  </si>
  <si>
    <t>to_navd88</t>
  </si>
  <si>
    <t>Henderson Bayou near Port Vincent, LA</t>
  </si>
  <si>
    <t>USGS</t>
  </si>
  <si>
    <t>Welsh Gully at J. Broussard Rd nr Prairieville, LA</t>
  </si>
  <si>
    <t>Alligator Bayou near Kleinpeter, LA</t>
  </si>
  <si>
    <t>Bayou Manchac at Alligator B. near Kleinpeter, LA</t>
  </si>
  <si>
    <t>Amite River at Port Vincent, LA</t>
  </si>
  <si>
    <t>Amite River at Magnolia, LA</t>
  </si>
  <si>
    <t>Amite River near French Settlement, LA</t>
  </si>
  <si>
    <t>Muddy Creek at Manchac Acres Rd near Oak Grove, LA</t>
  </si>
  <si>
    <t>Comite R. at Greenwell Spg Rd near Baton Rouge, LA</t>
  </si>
  <si>
    <t>Amite River at Hwy 22 near Maurepas, LA</t>
  </si>
  <si>
    <t>Dawson Cr. at Bluebonnet Blvd near Baton Rouge, LA</t>
  </si>
  <si>
    <t>Comite River near Olive Branch, LA</t>
  </si>
  <si>
    <t>Comite River at Hooper Road near Baton Rouge, LA</t>
  </si>
  <si>
    <t>Amite River near Darlington, LA</t>
  </si>
  <si>
    <t>Comite R. at Pt. Hudson-Pride Rd near Milldale, LA</t>
  </si>
  <si>
    <t>Bayou Manchac near Little Prairie, LA</t>
  </si>
  <si>
    <t>Comite River at Comite Dr near Baton Rouge, LA</t>
  </si>
  <si>
    <t>Amite River at Grangeville, LA</t>
  </si>
  <si>
    <t>Comite River near Comite, LA</t>
  </si>
  <si>
    <t>Comite River near Baker, LA</t>
  </si>
  <si>
    <t>Beaver Bayou at Hooper Road near Baton Rouge, LA</t>
  </si>
  <si>
    <t>Claycut Bayou at Antioch Rd near Baton Rouge, LA</t>
  </si>
  <si>
    <t>Little Sandy Creek at Peairs Rd SE of Milldale, LA</t>
  </si>
  <si>
    <t>Comite River near Zachary, LA</t>
  </si>
  <si>
    <t>White Bayou at State Hwy 64 near Zachary, LA</t>
  </si>
  <si>
    <t>Ward Creek at Government St at Baton Rouge, LA</t>
  </si>
  <si>
    <t>North Branch Ward Creek at Baton Rouge, LA</t>
  </si>
  <si>
    <t>Grays Creek at Hwy 16 near Port Vincent, LA</t>
  </si>
  <si>
    <t>Amite River near Denham Springs, LA</t>
  </si>
  <si>
    <t>Bayou Fountain at Bluebonnet Blvd near B.R., LA</t>
  </si>
  <si>
    <t>Ward Creek at Essen Lane near Baton Rouge, LA</t>
  </si>
  <si>
    <t>Jones Cr. at Old Hammond Hwy near Baton Rouge, LA</t>
  </si>
  <si>
    <t>W Colyell Cr. at Joe May Rd near Port Vincent, LA</t>
  </si>
  <si>
    <t>CORPORATION C.AT E.ROOSEVELT ST. AT B. R. LA</t>
  </si>
  <si>
    <t>91°10'36"</t>
  </si>
  <si>
    <t>30°25'18"</t>
  </si>
  <si>
    <t>White Bayou near Baker, LA</t>
  </si>
  <si>
    <t>91°07'18"</t>
  </si>
  <si>
    <t>30°34'45"</t>
  </si>
  <si>
    <t>BAYOU MANCHAC AT PORT VINCENT, LA</t>
  </si>
  <si>
    <t>NGVD29</t>
  </si>
  <si>
    <t>90°53'35"</t>
  </si>
  <si>
    <t>30°20'43"</t>
  </si>
  <si>
    <t>Bayou Duplantier at Lee Dr Baton Rouge, LA</t>
  </si>
  <si>
    <t>91°09'09"</t>
  </si>
  <si>
    <t>30°24'05"</t>
  </si>
  <si>
    <t>BYU BRAUD NR ST. GABRIEL, LA</t>
  </si>
  <si>
    <t>91°03'00"</t>
  </si>
  <si>
    <t>30°15'16"</t>
  </si>
  <si>
    <t>Beaver Bayou at Wax Rd near Baton Rouge, LA</t>
  </si>
  <si>
    <t>Jones Creek at Monterrey Blvd at Baton Rouge, LA</t>
  </si>
  <si>
    <t>91°05'03"</t>
  </si>
  <si>
    <t>30°27'53"</t>
  </si>
  <si>
    <t>SANDY CK NR GREENWELL SPRINGS, LA</t>
  </si>
  <si>
    <t>90°59'37"</t>
  </si>
  <si>
    <t>30°36'08"</t>
  </si>
  <si>
    <t>Middle Colyell Creek at Black Mud Rd nr Walker, LA</t>
  </si>
  <si>
    <t>90°50'14"</t>
  </si>
  <si>
    <t>30°28'26"</t>
  </si>
  <si>
    <t>Middle Colyell Creek near Walker, LA</t>
  </si>
  <si>
    <t>90°50'28"</t>
  </si>
  <si>
    <t>30°28'45"</t>
  </si>
  <si>
    <t>White Bayou SE of Zachary, LA</t>
  </si>
  <si>
    <t>91°07'39"</t>
  </si>
  <si>
    <t>30°38'13"</t>
  </si>
  <si>
    <t xml:space="preserve">	-91.0982722</t>
  </si>
  <si>
    <t>Hurricane Creek near Baton Rouge, LA</t>
  </si>
  <si>
    <t>91°05'20"</t>
  </si>
  <si>
    <t>30°29'14"</t>
  </si>
  <si>
    <t>LITTLE REDWOOD CR TRIB AT JH PD,WILSON LA</t>
  </si>
  <si>
    <t>91°07'00"</t>
  </si>
  <si>
    <t>30°53'40"</t>
  </si>
  <si>
    <t>REDWOOD CK NR SLAUGHTER, LA</t>
  </si>
  <si>
    <t>91°06'54"</t>
  </si>
  <si>
    <t>30°43'44"</t>
  </si>
  <si>
    <t>White Bayou E. Div. Canal nr Baton Rouge, LA</t>
  </si>
  <si>
    <t>91°06'55"</t>
  </si>
  <si>
    <t>30°37'00"</t>
  </si>
  <si>
    <t>Little Sandy Creek near Greenwell Springs, LA</t>
  </si>
  <si>
    <t>90°59'20"</t>
  </si>
  <si>
    <t>30°37'36"</t>
  </si>
  <si>
    <t>Muddy Creek near Oak Grove, LA</t>
  </si>
  <si>
    <t>90°56'47"</t>
  </si>
  <si>
    <t>30°19'42"</t>
  </si>
  <si>
    <t>Jones Creek at Goodwood Blvd. at Baton Rouge, LA</t>
  </si>
  <si>
    <t>91°03'59"</t>
  </si>
  <si>
    <t>30°26'45"</t>
  </si>
  <si>
    <t>WARD CR AT SIEGENS LANE NR BATON ROUGE, LA</t>
  </si>
  <si>
    <t>91°04'10"</t>
  </si>
  <si>
    <t>30°22'30"</t>
  </si>
  <si>
    <t>AMITE R AT 4H CAMP NR DENHAM SPRINGS</t>
  </si>
  <si>
    <t>90°58'20"</t>
  </si>
  <si>
    <t>30°26'30"</t>
  </si>
  <si>
    <t>COLYELL CREEK NEAR FROST, LA</t>
  </si>
  <si>
    <t>90°46'48"</t>
  </si>
  <si>
    <t>30°23'54"</t>
  </si>
  <si>
    <t>Jones Creek, Woodland Ridge Blvd, at Baton Rouge,LA</t>
  </si>
  <si>
    <t>91°02'12"</t>
  </si>
  <si>
    <t>30°25'22"</t>
  </si>
  <si>
    <t>Lon</t>
  </si>
  <si>
    <t>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</si>
</sst>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"/>
    <numFmt numFmtId="166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2" borderId="0" xfId="0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2" fontId="0" fillId="0" borderId="0" xfId="0" applyNumberFormat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2" fontId="0" fillId="0" borderId="0" xfId="0" applyNumberFormat="1"/>
    <xf numFmtId="165" fontId="0" fillId="0" borderId="0" xfId="0" applyNumberFormat="1"/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6" fontId="0" fillId="2" borderId="0" xfId="0" applyNumberFormat="1" applyFill="1" applyAlignment="1">
      <alignment horizontal="right" vertical="center"/>
    </xf>
    <xf numFmtId="166" fontId="2" fillId="2" borderId="0" xfId="0" applyNumberFormat="1" applyFont="1" applyFill="1" applyAlignment="1">
      <alignment horizontal="right" vertical="center"/>
    </xf>
    <xf numFmtId="166" fontId="0" fillId="2" borderId="0" xfId="0" applyNumberFormat="1" applyFill="1" applyAlignment="1">
      <alignment vertical="center"/>
    </xf>
    <xf numFmtId="166" fontId="2" fillId="0" borderId="0" xfId="0" applyNumberFormat="1" applyFont="1" applyAlignment="1">
      <alignment horizontal="right" vertical="center"/>
    </xf>
    <xf numFmtId="166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3AF04-FA71-47A3-825A-6C0A8F959CAE}">
  <dimension ref="A1:K34"/>
  <sheetViews>
    <sheetView tabSelected="1" workbookViewId="0"/>
  </sheetViews>
  <sheetFormatPr defaultRowHeight="15" x14ac:dyDescent="0.25"/>
  <cols>
    <col min="1" max="1" width="9" bestFit="1" customWidth="1"/>
    <col min="2" max="2" width="49.42578125" bestFit="1" customWidth="1"/>
    <col min="3" max="3" width="12" bestFit="1" customWidth="1"/>
    <col min="4" max="4" width="5.85546875" bestFit="1" customWidth="1"/>
    <col min="5" max="5" width="16.28515625" bestFit="1" customWidth="1"/>
    <col min="6" max="6" width="8.28515625" bestFit="1" customWidth="1"/>
    <col min="7" max="7" width="10.140625" bestFit="1" customWidth="1"/>
    <col min="8" max="8" width="11.85546875" style="4" bestFit="1" customWidth="1"/>
    <col min="9" max="9" width="12.5703125" style="4" bestFit="1" customWidth="1"/>
    <col min="10" max="10" width="7.5703125" bestFit="1" customWidth="1"/>
    <col min="11" max="11" width="15.5703125" bestFit="1" customWidth="1"/>
  </cols>
  <sheetData>
    <row r="1" spans="1:11" x14ac:dyDescent="0.2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9" t="s">
        <v>1</v>
      </c>
      <c r="I1" s="9" t="s">
        <v>2</v>
      </c>
      <c r="J1" s="1" t="s">
        <v>4</v>
      </c>
      <c r="K1" s="1" t="s">
        <v>3</v>
      </c>
    </row>
    <row r="2" spans="1:11" x14ac:dyDescent="0.25">
      <c r="A2" s="2">
        <v>7380126</v>
      </c>
      <c r="B2" t="s">
        <v>13</v>
      </c>
      <c r="C2" s="2" t="s">
        <v>14</v>
      </c>
      <c r="D2" s="2" t="s">
        <v>5</v>
      </c>
      <c r="E2">
        <v>0</v>
      </c>
      <c r="F2" s="2" t="s">
        <v>6</v>
      </c>
      <c r="G2" s="3">
        <v>0</v>
      </c>
      <c r="H2" s="16">
        <v>703522.85499999998</v>
      </c>
      <c r="I2" s="14">
        <v>3353639.0580000002</v>
      </c>
      <c r="J2" s="18">
        <v>8.44</v>
      </c>
      <c r="K2" s="18">
        <v>8.44</v>
      </c>
    </row>
    <row r="3" spans="1:11" x14ac:dyDescent="0.25">
      <c r="A3" s="2">
        <v>7380102</v>
      </c>
      <c r="B3" t="s">
        <v>15</v>
      </c>
      <c r="C3" s="2" t="s">
        <v>14</v>
      </c>
      <c r="D3" s="2" t="s">
        <v>5</v>
      </c>
      <c r="E3">
        <v>0.71</v>
      </c>
      <c r="F3" s="2" t="s">
        <v>6</v>
      </c>
      <c r="G3" s="3">
        <v>0</v>
      </c>
      <c r="H3" s="16">
        <v>695241.46</v>
      </c>
      <c r="I3" s="14">
        <v>3357861.409</v>
      </c>
      <c r="J3" s="14">
        <v>12.64</v>
      </c>
      <c r="K3" s="14">
        <v>13.350000000000001</v>
      </c>
    </row>
    <row r="4" spans="1:11" x14ac:dyDescent="0.25">
      <c r="A4" s="2">
        <v>7378745</v>
      </c>
      <c r="B4" t="s">
        <v>16</v>
      </c>
      <c r="C4" s="2" t="s">
        <v>14</v>
      </c>
      <c r="D4" s="2" t="s">
        <v>5</v>
      </c>
      <c r="E4">
        <v>-0.5</v>
      </c>
      <c r="F4" s="2" t="s">
        <v>6</v>
      </c>
      <c r="G4" s="3">
        <v>0</v>
      </c>
      <c r="H4" s="16">
        <v>690297.61</v>
      </c>
      <c r="I4" s="14">
        <v>3356043.13</v>
      </c>
      <c r="J4" s="14">
        <v>8.91</v>
      </c>
      <c r="K4" s="14">
        <v>8.41</v>
      </c>
    </row>
    <row r="5" spans="1:11" x14ac:dyDescent="0.25">
      <c r="A5" s="2">
        <v>7378746</v>
      </c>
      <c r="B5" t="s">
        <v>17</v>
      </c>
      <c r="C5" s="2" t="s">
        <v>14</v>
      </c>
      <c r="D5" s="2" t="s">
        <v>5</v>
      </c>
      <c r="E5" s="17">
        <v>-0.5</v>
      </c>
      <c r="F5" s="2" t="s">
        <v>6</v>
      </c>
      <c r="G5" s="3">
        <v>0</v>
      </c>
      <c r="H5" s="16">
        <v>690275.97400000005</v>
      </c>
      <c r="I5" s="14">
        <v>3356058.1519999998</v>
      </c>
      <c r="J5" s="14">
        <v>13.57</v>
      </c>
      <c r="K5" s="14">
        <v>13.07</v>
      </c>
    </row>
    <row r="6" spans="1:11" x14ac:dyDescent="0.25">
      <c r="A6" s="2">
        <v>7380120</v>
      </c>
      <c r="B6" t="s">
        <v>18</v>
      </c>
      <c r="C6" s="2" t="s">
        <v>14</v>
      </c>
      <c r="D6" s="2" t="s">
        <v>5</v>
      </c>
      <c r="E6">
        <v>-1.36</v>
      </c>
      <c r="F6" s="2" t="s">
        <v>6</v>
      </c>
      <c r="G6" s="3">
        <v>0</v>
      </c>
      <c r="H6" s="16">
        <v>706494.95299999998</v>
      </c>
      <c r="I6" s="14">
        <v>3357606.7930000001</v>
      </c>
      <c r="J6" s="14">
        <v>12.34</v>
      </c>
      <c r="K6" s="14">
        <v>10.98</v>
      </c>
    </row>
    <row r="7" spans="1:11" x14ac:dyDescent="0.25">
      <c r="A7" s="2">
        <v>7377300</v>
      </c>
      <c r="B7" t="s">
        <v>19</v>
      </c>
      <c r="C7" s="2" t="s">
        <v>14</v>
      </c>
      <c r="D7" s="2" t="s">
        <v>5</v>
      </c>
      <c r="E7">
        <v>-1.43</v>
      </c>
      <c r="F7" s="2" t="s">
        <v>6</v>
      </c>
      <c r="G7" s="3">
        <v>0</v>
      </c>
      <c r="H7" s="16">
        <v>693727.44200000004</v>
      </c>
      <c r="I7" s="14">
        <v>3379795.1179999998</v>
      </c>
      <c r="J7" s="14">
        <v>58.56</v>
      </c>
      <c r="K7" s="14">
        <v>57.13</v>
      </c>
    </row>
    <row r="8" spans="1:11" x14ac:dyDescent="0.25">
      <c r="A8" s="2">
        <v>7380200</v>
      </c>
      <c r="B8" t="s">
        <v>20</v>
      </c>
      <c r="C8" s="2" t="s">
        <v>14</v>
      </c>
      <c r="D8" s="2" t="s">
        <v>5</v>
      </c>
      <c r="E8">
        <v>-0.91</v>
      </c>
      <c r="F8" s="2" t="s">
        <v>6</v>
      </c>
      <c r="G8" s="3">
        <v>0</v>
      </c>
      <c r="H8" s="16">
        <v>713617.54099999997</v>
      </c>
      <c r="I8" s="14">
        <v>3351398.449</v>
      </c>
      <c r="J8" s="14">
        <v>4.5199999999999996</v>
      </c>
      <c r="K8" s="14">
        <v>3.6099999999999994</v>
      </c>
    </row>
    <row r="9" spans="1:11" x14ac:dyDescent="0.25">
      <c r="A9" s="2">
        <v>7380107</v>
      </c>
      <c r="B9" t="s">
        <v>21</v>
      </c>
      <c r="C9" s="2" t="s">
        <v>14</v>
      </c>
      <c r="D9" s="2" t="s">
        <v>5</v>
      </c>
      <c r="E9">
        <v>0</v>
      </c>
      <c r="F9" s="2" t="s">
        <v>6</v>
      </c>
      <c r="G9" s="3">
        <v>0</v>
      </c>
      <c r="H9" s="16">
        <v>697421.63899999997</v>
      </c>
      <c r="I9" s="14">
        <v>3356976.6669999999</v>
      </c>
      <c r="J9" s="14">
        <v>16.46</v>
      </c>
      <c r="K9" s="14">
        <v>16.46</v>
      </c>
    </row>
    <row r="10" spans="1:11" x14ac:dyDescent="0.25">
      <c r="A10" s="2">
        <v>7378050</v>
      </c>
      <c r="B10" t="s">
        <v>22</v>
      </c>
      <c r="C10" s="2" t="s">
        <v>14</v>
      </c>
      <c r="D10" s="2" t="s">
        <v>5</v>
      </c>
      <c r="E10">
        <v>-0.95</v>
      </c>
      <c r="F10" s="2" t="s">
        <v>6</v>
      </c>
      <c r="G10" s="3">
        <v>0</v>
      </c>
      <c r="H10" s="16">
        <v>688079.52899999998</v>
      </c>
      <c r="I10" s="14">
        <v>3376461.4389999998</v>
      </c>
      <c r="J10" s="14">
        <v>47.86</v>
      </c>
      <c r="K10" s="14">
        <v>46.91</v>
      </c>
    </row>
    <row r="11" spans="1:11" x14ac:dyDescent="0.25">
      <c r="A11" s="2">
        <v>7380215</v>
      </c>
      <c r="B11" t="s">
        <v>23</v>
      </c>
      <c r="C11" s="2" t="s">
        <v>14</v>
      </c>
      <c r="D11" s="2" t="s">
        <v>5</v>
      </c>
      <c r="E11">
        <v>-1.38</v>
      </c>
      <c r="F11" s="2" t="s">
        <v>6</v>
      </c>
      <c r="G11" s="3">
        <v>0</v>
      </c>
      <c r="H11" s="16">
        <v>729951.39500000002</v>
      </c>
      <c r="I11" s="14">
        <v>3355303.65</v>
      </c>
      <c r="J11" s="14">
        <v>2.72</v>
      </c>
      <c r="K11" s="14">
        <v>1.3400000000000003</v>
      </c>
    </row>
    <row r="12" spans="1:11" x14ac:dyDescent="0.25">
      <c r="A12" s="2">
        <v>7379960</v>
      </c>
      <c r="B12" t="s">
        <v>24</v>
      </c>
      <c r="C12" s="2" t="s">
        <v>14</v>
      </c>
      <c r="D12" s="2" t="s">
        <v>5</v>
      </c>
      <c r="E12">
        <v>0</v>
      </c>
      <c r="F12" s="2" t="s">
        <v>6</v>
      </c>
      <c r="G12" s="3">
        <v>0</v>
      </c>
      <c r="H12" s="16">
        <v>683110.94</v>
      </c>
      <c r="I12" s="14">
        <v>3362701.7560000001</v>
      </c>
      <c r="J12" s="14">
        <v>23.63</v>
      </c>
      <c r="K12" s="14">
        <v>23.63</v>
      </c>
    </row>
    <row r="13" spans="1:11" x14ac:dyDescent="0.25">
      <c r="A13" s="2">
        <v>7377500</v>
      </c>
      <c r="B13" t="s">
        <v>25</v>
      </c>
      <c r="C13" s="2" t="s">
        <v>14</v>
      </c>
      <c r="D13" s="2" t="s">
        <v>5</v>
      </c>
      <c r="E13">
        <v>113.15</v>
      </c>
      <c r="F13" s="2" t="s">
        <v>6</v>
      </c>
      <c r="G13" s="3">
        <v>0</v>
      </c>
      <c r="H13" s="16">
        <v>687222.37100000004</v>
      </c>
      <c r="I13" s="14">
        <v>3404259.17</v>
      </c>
      <c r="J13" s="14">
        <v>26.96</v>
      </c>
      <c r="K13" s="14">
        <v>140.11000000000001</v>
      </c>
    </row>
    <row r="14" spans="1:11" x14ac:dyDescent="0.25">
      <c r="A14" s="2">
        <v>7377870</v>
      </c>
      <c r="B14" t="s">
        <v>26</v>
      </c>
      <c r="C14" s="2" t="s">
        <v>14</v>
      </c>
      <c r="D14" s="2" t="s">
        <v>5</v>
      </c>
      <c r="E14">
        <v>28.49</v>
      </c>
      <c r="F14" s="2" t="s">
        <v>6</v>
      </c>
      <c r="G14" s="3">
        <v>0</v>
      </c>
      <c r="H14" s="16">
        <v>682886.87199999997</v>
      </c>
      <c r="I14" s="14">
        <v>3379144.3879999998</v>
      </c>
      <c r="J14" s="14">
        <v>31.93</v>
      </c>
      <c r="K14" s="14">
        <v>60.42</v>
      </c>
    </row>
    <row r="15" spans="1:11" x14ac:dyDescent="0.25">
      <c r="A15" s="2">
        <v>7377000</v>
      </c>
      <c r="B15" t="s">
        <v>27</v>
      </c>
      <c r="C15" s="2" t="s">
        <v>14</v>
      </c>
      <c r="D15" s="2" t="s">
        <v>5</v>
      </c>
      <c r="E15">
        <v>145.36000000000001</v>
      </c>
      <c r="F15" s="2" t="s">
        <v>6</v>
      </c>
      <c r="G15" s="3">
        <v>0</v>
      </c>
      <c r="H15" s="16">
        <v>706033.72900000005</v>
      </c>
      <c r="I15" s="14">
        <v>3419298.3089999999</v>
      </c>
      <c r="J15" s="14">
        <v>22.54</v>
      </c>
      <c r="K15" s="14">
        <v>167.9</v>
      </c>
    </row>
    <row r="16" spans="1:11" x14ac:dyDescent="0.25">
      <c r="A16" s="2">
        <v>7377600</v>
      </c>
      <c r="B16" t="s">
        <v>28</v>
      </c>
      <c r="C16" s="2" t="s">
        <v>14</v>
      </c>
      <c r="D16" s="2" t="s">
        <v>5</v>
      </c>
      <c r="E16">
        <v>80</v>
      </c>
      <c r="F16" s="2" t="s">
        <v>6</v>
      </c>
      <c r="G16" s="3">
        <v>0</v>
      </c>
      <c r="H16" s="16">
        <v>686627.57799999998</v>
      </c>
      <c r="I16" s="14">
        <v>3398230.3640000001</v>
      </c>
      <c r="J16" s="14">
        <v>39.549999999999997</v>
      </c>
      <c r="K16" s="14">
        <v>119.55</v>
      </c>
    </row>
    <row r="17" spans="1:11" x14ac:dyDescent="0.25">
      <c r="A17" s="2">
        <v>7380101</v>
      </c>
      <c r="B17" t="s">
        <v>29</v>
      </c>
      <c r="C17" s="2" t="s">
        <v>14</v>
      </c>
      <c r="D17" s="2" t="s">
        <v>5</v>
      </c>
      <c r="E17">
        <v>-1.28</v>
      </c>
      <c r="F17" s="2" t="s">
        <v>6</v>
      </c>
      <c r="G17" s="19">
        <v>0</v>
      </c>
      <c r="H17" s="16">
        <v>700202.03799999994</v>
      </c>
      <c r="I17" s="14">
        <v>3358351.827</v>
      </c>
      <c r="J17" s="14">
        <v>17.47</v>
      </c>
      <c r="K17" s="14">
        <v>16.189999999999998</v>
      </c>
    </row>
    <row r="18" spans="1:11" x14ac:dyDescent="0.25">
      <c r="A18" s="2">
        <v>7377760</v>
      </c>
      <c r="B18" t="s">
        <v>30</v>
      </c>
      <c r="C18" s="2" t="s">
        <v>14</v>
      </c>
      <c r="D18" s="2" t="s">
        <v>5</v>
      </c>
      <c r="E18">
        <v>36.43</v>
      </c>
      <c r="F18" s="2" t="s">
        <v>6</v>
      </c>
      <c r="G18" s="3">
        <v>0</v>
      </c>
      <c r="H18" s="16">
        <v>682398.22600000002</v>
      </c>
      <c r="I18" s="14">
        <v>3382188.3050000002</v>
      </c>
      <c r="J18" s="14">
        <v>29.36</v>
      </c>
      <c r="K18" s="14">
        <v>65.789999999999992</v>
      </c>
    </row>
    <row r="19" spans="1:11" x14ac:dyDescent="0.25">
      <c r="A19" s="2">
        <v>7377150</v>
      </c>
      <c r="B19" t="s">
        <v>31</v>
      </c>
      <c r="C19" s="2" t="s">
        <v>14</v>
      </c>
      <c r="D19" s="2" t="s">
        <v>5</v>
      </c>
      <c r="E19">
        <v>71.400000000000006</v>
      </c>
      <c r="F19" s="2" t="s">
        <v>6</v>
      </c>
      <c r="G19" s="3">
        <v>0</v>
      </c>
      <c r="H19" s="16">
        <v>706626.31499999994</v>
      </c>
      <c r="I19" s="14">
        <v>3402366.926</v>
      </c>
      <c r="J19" s="14">
        <v>44.62</v>
      </c>
      <c r="K19" s="14">
        <v>116.02000000000001</v>
      </c>
    </row>
    <row r="20" spans="1:11" x14ac:dyDescent="0.25">
      <c r="A20" s="2">
        <v>7378000</v>
      </c>
      <c r="B20" t="s">
        <v>32</v>
      </c>
      <c r="C20" s="2" t="s">
        <v>14</v>
      </c>
      <c r="D20" s="2" t="s">
        <v>5</v>
      </c>
      <c r="E20">
        <v>21.51</v>
      </c>
      <c r="F20" s="2" t="s">
        <v>6</v>
      </c>
      <c r="G20" s="3">
        <v>0</v>
      </c>
      <c r="H20" s="16">
        <v>684806.375</v>
      </c>
      <c r="I20" s="14">
        <v>3377202.7489999998</v>
      </c>
      <c r="J20" s="14">
        <v>34.07</v>
      </c>
      <c r="K20" s="14">
        <v>55.58</v>
      </c>
    </row>
    <row r="21" spans="1:11" x14ac:dyDescent="0.25">
      <c r="A21" s="2">
        <v>7377754</v>
      </c>
      <c r="B21" t="s">
        <v>33</v>
      </c>
      <c r="C21" s="2" t="s">
        <v>14</v>
      </c>
      <c r="D21" s="2" t="s">
        <v>5</v>
      </c>
      <c r="E21">
        <v>48.2</v>
      </c>
      <c r="F21" s="2" t="s">
        <v>6</v>
      </c>
      <c r="G21" s="3">
        <v>0</v>
      </c>
      <c r="H21" s="16">
        <v>682710.59499999997</v>
      </c>
      <c r="I21" s="14">
        <v>3386409.9750000001</v>
      </c>
      <c r="J21" s="14">
        <v>26.91</v>
      </c>
      <c r="K21" s="14">
        <v>75.11</v>
      </c>
    </row>
    <row r="22" spans="1:11" x14ac:dyDescent="0.25">
      <c r="A22" s="2">
        <v>7378083</v>
      </c>
      <c r="B22" t="s">
        <v>34</v>
      </c>
      <c r="C22" s="2" t="s">
        <v>14</v>
      </c>
      <c r="D22" s="2" t="s">
        <v>5</v>
      </c>
      <c r="E22">
        <v>48.78</v>
      </c>
      <c r="F22" s="2" t="s">
        <v>6</v>
      </c>
      <c r="G22" s="3">
        <v>0</v>
      </c>
      <c r="H22" s="16">
        <v>689811.65899999999</v>
      </c>
      <c r="I22" s="14">
        <v>3382620.9029999999</v>
      </c>
      <c r="J22" s="14">
        <v>13.5</v>
      </c>
      <c r="K22" s="14">
        <v>62.28</v>
      </c>
    </row>
    <row r="23" spans="1:11" x14ac:dyDescent="0.25">
      <c r="A23" s="2">
        <v>7378722</v>
      </c>
      <c r="B23" t="s">
        <v>35</v>
      </c>
      <c r="C23" s="2" t="s">
        <v>14</v>
      </c>
      <c r="D23" s="2" t="s">
        <v>5</v>
      </c>
      <c r="E23">
        <v>0</v>
      </c>
      <c r="F23" s="2" t="s">
        <v>6</v>
      </c>
      <c r="G23" s="3">
        <v>0</v>
      </c>
      <c r="H23" s="16">
        <v>691458.12899999996</v>
      </c>
      <c r="I23" s="14">
        <v>3363338.2239999999</v>
      </c>
      <c r="J23" s="14">
        <v>26.72</v>
      </c>
      <c r="K23" s="14">
        <v>26.72</v>
      </c>
    </row>
    <row r="24" spans="1:11" x14ac:dyDescent="0.25">
      <c r="A24" s="2">
        <v>7377230</v>
      </c>
      <c r="B24" t="s">
        <v>36</v>
      </c>
      <c r="C24" s="2" t="s">
        <v>14</v>
      </c>
      <c r="D24" s="2" t="s">
        <v>5</v>
      </c>
      <c r="E24">
        <v>39.08</v>
      </c>
      <c r="F24" s="2" t="s">
        <v>6</v>
      </c>
      <c r="G24" s="3">
        <v>0</v>
      </c>
      <c r="H24" s="16">
        <v>690956.21299999999</v>
      </c>
      <c r="I24" s="14">
        <v>3391774.1519999998</v>
      </c>
      <c r="J24" s="14">
        <v>34.229999999999997</v>
      </c>
      <c r="K24" s="14">
        <v>73.31</v>
      </c>
    </row>
    <row r="25" spans="1:11" x14ac:dyDescent="0.25">
      <c r="A25" s="2">
        <v>7377750</v>
      </c>
      <c r="B25" t="s">
        <v>37</v>
      </c>
      <c r="C25" s="2" t="s">
        <v>14</v>
      </c>
      <c r="D25" s="2" t="s">
        <v>5</v>
      </c>
      <c r="E25">
        <v>58.58</v>
      </c>
      <c r="F25" s="2" t="s">
        <v>6</v>
      </c>
      <c r="G25" s="3">
        <v>0</v>
      </c>
      <c r="H25" s="16">
        <v>682595.78099999996</v>
      </c>
      <c r="I25" s="14">
        <v>3391613.1090000002</v>
      </c>
      <c r="J25" s="14">
        <v>31.99</v>
      </c>
      <c r="K25" s="14">
        <v>90.57</v>
      </c>
    </row>
    <row r="26" spans="1:11" x14ac:dyDescent="0.25">
      <c r="A26" s="2">
        <v>7377780</v>
      </c>
      <c r="B26" t="s">
        <v>38</v>
      </c>
      <c r="C26" s="2" t="s">
        <v>14</v>
      </c>
      <c r="D26" s="2" t="s">
        <v>5</v>
      </c>
      <c r="E26">
        <v>49.15</v>
      </c>
      <c r="F26" s="2" t="s">
        <v>6</v>
      </c>
      <c r="G26" s="3">
        <v>0</v>
      </c>
      <c r="H26" s="16">
        <v>679043.49300000002</v>
      </c>
      <c r="I26" s="14">
        <v>3392231.0389999999</v>
      </c>
      <c r="J26" s="14">
        <v>43.87</v>
      </c>
      <c r="K26" s="14">
        <v>93.02</v>
      </c>
    </row>
    <row r="27" spans="1:11" x14ac:dyDescent="0.25">
      <c r="A27" s="2">
        <v>7379000</v>
      </c>
      <c r="B27" t="s">
        <v>39</v>
      </c>
      <c r="C27" s="2" t="s">
        <v>14</v>
      </c>
      <c r="D27" s="2" t="s">
        <v>5</v>
      </c>
      <c r="E27">
        <v>-2.09</v>
      </c>
      <c r="F27" s="2" t="s">
        <v>6</v>
      </c>
      <c r="G27" s="3">
        <v>0</v>
      </c>
      <c r="H27" s="16">
        <v>678314.43</v>
      </c>
      <c r="I27" s="14">
        <v>3369534.6979999999</v>
      </c>
      <c r="J27" s="14">
        <v>43.87</v>
      </c>
      <c r="K27" s="14">
        <v>41.78</v>
      </c>
    </row>
    <row r="28" spans="1:11" x14ac:dyDescent="0.25">
      <c r="A28" s="2">
        <v>7379100</v>
      </c>
      <c r="B28" t="s">
        <v>40</v>
      </c>
      <c r="C28" s="2" t="s">
        <v>14</v>
      </c>
      <c r="D28" s="2" t="s">
        <v>5</v>
      </c>
      <c r="E28">
        <v>0</v>
      </c>
      <c r="F28" s="2" t="s">
        <v>6</v>
      </c>
      <c r="G28" s="3">
        <v>0</v>
      </c>
      <c r="H28" s="16">
        <v>683327.67700000003</v>
      </c>
      <c r="I28" s="14">
        <v>3366635.4750000001</v>
      </c>
      <c r="J28" s="14">
        <v>28.77</v>
      </c>
      <c r="K28" s="14">
        <v>28.77</v>
      </c>
    </row>
    <row r="29" spans="1:11" x14ac:dyDescent="0.25">
      <c r="A29" s="2">
        <v>73801175</v>
      </c>
      <c r="B29" t="s">
        <v>41</v>
      </c>
      <c r="C29" s="2" t="s">
        <v>14</v>
      </c>
      <c r="D29" s="2" t="s">
        <v>5</v>
      </c>
      <c r="E29">
        <v>0</v>
      </c>
      <c r="F29" s="2" t="s">
        <v>6</v>
      </c>
      <c r="G29" s="3">
        <v>0</v>
      </c>
      <c r="H29" s="16">
        <v>700266.39300000004</v>
      </c>
      <c r="I29" s="14">
        <v>3366260.0490000001</v>
      </c>
      <c r="J29" s="14">
        <v>30.21</v>
      </c>
      <c r="K29" s="14">
        <v>30.21</v>
      </c>
    </row>
    <row r="30" spans="1:11" x14ac:dyDescent="0.25">
      <c r="A30" s="2">
        <v>7378500</v>
      </c>
      <c r="B30" t="s">
        <v>42</v>
      </c>
      <c r="C30" s="2" t="s">
        <v>14</v>
      </c>
      <c r="D30" s="2" t="s">
        <v>5</v>
      </c>
      <c r="E30">
        <v>-1.35</v>
      </c>
      <c r="F30" s="2" t="s">
        <v>6</v>
      </c>
      <c r="G30" s="3">
        <v>0</v>
      </c>
      <c r="H30" s="16">
        <v>693012.09900000005</v>
      </c>
      <c r="I30" s="14">
        <v>3371996.1170000001</v>
      </c>
      <c r="J30" s="14">
        <v>45.86</v>
      </c>
      <c r="K30" s="14">
        <v>44.51</v>
      </c>
    </row>
    <row r="31" spans="1:11" x14ac:dyDescent="0.25">
      <c r="A31" s="2">
        <v>7378810</v>
      </c>
      <c r="B31" t="s">
        <v>43</v>
      </c>
      <c r="C31" s="2" t="s">
        <v>14</v>
      </c>
      <c r="D31" s="2" t="s">
        <v>5</v>
      </c>
      <c r="E31">
        <v>0</v>
      </c>
      <c r="F31" s="2" t="s">
        <v>6</v>
      </c>
      <c r="G31" s="3">
        <v>0</v>
      </c>
      <c r="H31" s="16">
        <v>681820.39399999997</v>
      </c>
      <c r="I31" s="14">
        <v>3360031.4980000001</v>
      </c>
      <c r="J31" s="14">
        <v>12.04</v>
      </c>
      <c r="K31" s="14">
        <v>12.04</v>
      </c>
    </row>
    <row r="32" spans="1:11" x14ac:dyDescent="0.25">
      <c r="A32" s="2">
        <v>7379050</v>
      </c>
      <c r="B32" t="s">
        <v>44</v>
      </c>
      <c r="C32" s="2" t="s">
        <v>14</v>
      </c>
      <c r="D32" s="2" t="s">
        <v>5</v>
      </c>
      <c r="E32">
        <v>0</v>
      </c>
      <c r="F32" s="2" t="s">
        <v>6</v>
      </c>
      <c r="G32" s="3">
        <v>0</v>
      </c>
      <c r="H32" s="16">
        <v>682188.19299999997</v>
      </c>
      <c r="I32" s="14">
        <v>3365180.909</v>
      </c>
      <c r="J32" s="14">
        <v>25.83</v>
      </c>
      <c r="K32" s="14">
        <v>25.83</v>
      </c>
    </row>
    <row r="33" spans="1:11" x14ac:dyDescent="0.25">
      <c r="A33" s="2">
        <v>7378650</v>
      </c>
      <c r="B33" t="s">
        <v>45</v>
      </c>
      <c r="C33" s="2" t="s">
        <v>14</v>
      </c>
      <c r="D33" s="2" t="s">
        <v>5</v>
      </c>
      <c r="E33">
        <v>0</v>
      </c>
      <c r="F33" s="2" t="s">
        <v>6</v>
      </c>
      <c r="G33" s="3">
        <v>0</v>
      </c>
      <c r="H33" s="16">
        <v>687777.71699999995</v>
      </c>
      <c r="I33" s="14">
        <v>3369249.12</v>
      </c>
      <c r="J33" s="14">
        <v>35.31</v>
      </c>
      <c r="K33" s="14">
        <v>35.31</v>
      </c>
    </row>
    <row r="34" spans="1:11" x14ac:dyDescent="0.25">
      <c r="A34" s="2">
        <v>7380185</v>
      </c>
      <c r="B34" t="s">
        <v>46</v>
      </c>
      <c r="C34" s="2" t="s">
        <v>14</v>
      </c>
      <c r="D34" s="2" t="s">
        <v>5</v>
      </c>
      <c r="E34">
        <v>0</v>
      </c>
      <c r="F34" s="2" t="s">
        <v>6</v>
      </c>
      <c r="G34" s="3">
        <v>0</v>
      </c>
      <c r="H34" s="16">
        <v>705080.40399999998</v>
      </c>
      <c r="I34" s="14">
        <v>3367436.8810000001</v>
      </c>
      <c r="J34" s="14">
        <v>20.9</v>
      </c>
      <c r="K34" s="14">
        <v>20.9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2CC31-E6E2-45B4-95AE-A4A599689CB4}">
  <dimension ref="A1:N56"/>
  <sheetViews>
    <sheetView topLeftCell="A2" workbookViewId="0">
      <selection activeCell="O11" sqref="O11"/>
    </sheetView>
  </sheetViews>
  <sheetFormatPr defaultRowHeight="15" x14ac:dyDescent="0.25"/>
  <cols>
    <col min="1" max="1" width="9" style="8" bestFit="1" customWidth="1"/>
    <col min="2" max="2" width="49.7109375" style="8" bestFit="1" customWidth="1"/>
    <col min="3" max="3" width="12" style="8" bestFit="1" customWidth="1"/>
    <col min="4" max="4" width="5.85546875" style="8" bestFit="1" customWidth="1"/>
    <col min="5" max="5" width="16.28515625" style="4" bestFit="1" customWidth="1"/>
    <col min="6" max="6" width="8.28515625" style="8" bestFit="1" customWidth="1"/>
    <col min="7" max="7" width="10.140625" style="4" bestFit="1" customWidth="1"/>
    <col min="8" max="8" width="11.5703125" style="4" bestFit="1" customWidth="1"/>
    <col min="9" max="9" width="12.5703125" style="4" bestFit="1" customWidth="1"/>
    <col min="10" max="10" width="7.5703125" style="4" bestFit="1" customWidth="1"/>
    <col min="11" max="11" width="15.42578125" style="4" bestFit="1" customWidth="1"/>
    <col min="12" max="12" width="14.5703125" style="4" bestFit="1" customWidth="1"/>
    <col min="13" max="13" width="12.140625" style="4" bestFit="1" customWidth="1"/>
    <col min="14" max="16384" width="9.140625" style="7"/>
  </cols>
  <sheetData>
    <row r="1" spans="1:14" s="8" customFormat="1" x14ac:dyDescent="0.25">
      <c r="A1" s="9" t="s">
        <v>0</v>
      </c>
      <c r="B1" s="9" t="s">
        <v>7</v>
      </c>
      <c r="C1" s="9" t="s">
        <v>8</v>
      </c>
      <c r="D1" s="9" t="s">
        <v>9</v>
      </c>
      <c r="E1" s="9" t="s">
        <v>10</v>
      </c>
      <c r="F1" s="9" t="s">
        <v>11</v>
      </c>
      <c r="G1" s="9" t="s">
        <v>12</v>
      </c>
      <c r="H1" s="9" t="s">
        <v>1</v>
      </c>
      <c r="I1" s="9" t="s">
        <v>2</v>
      </c>
      <c r="J1" s="9" t="s">
        <v>4</v>
      </c>
      <c r="K1" s="9" t="s">
        <v>3</v>
      </c>
      <c r="L1" s="6" t="s">
        <v>113</v>
      </c>
      <c r="M1" s="6" t="s">
        <v>114</v>
      </c>
    </row>
    <row r="2" spans="1:14" s="12" customFormat="1" x14ac:dyDescent="0.25">
      <c r="A2" s="10">
        <v>7380126</v>
      </c>
      <c r="B2" s="10" t="s">
        <v>13</v>
      </c>
      <c r="C2" s="10" t="s">
        <v>14</v>
      </c>
      <c r="D2" s="10" t="s">
        <v>5</v>
      </c>
      <c r="E2" s="11">
        <v>0</v>
      </c>
      <c r="F2" s="10" t="s">
        <v>6</v>
      </c>
      <c r="G2" s="11">
        <v>0</v>
      </c>
      <c r="H2" s="20">
        <v>703522.85499999998</v>
      </c>
      <c r="I2" s="20">
        <v>3353639.0580000002</v>
      </c>
      <c r="J2" s="20">
        <v>8.44</v>
      </c>
      <c r="K2" s="20">
        <f>E2+G2+J2</f>
        <v>8.44</v>
      </c>
      <c r="L2" s="21">
        <v>-90.883709190000005</v>
      </c>
      <c r="M2" s="21">
        <v>30.297416900000002</v>
      </c>
      <c r="N2" s="22"/>
    </row>
    <row r="3" spans="1:14" x14ac:dyDescent="0.25">
      <c r="A3" s="8">
        <v>7379503</v>
      </c>
      <c r="B3" s="8" t="s">
        <v>47</v>
      </c>
      <c r="C3" s="8" t="s">
        <v>14</v>
      </c>
      <c r="D3" s="8" t="s">
        <v>5</v>
      </c>
      <c r="E3" s="4">
        <v>-0.5</v>
      </c>
      <c r="F3" s="8" t="s">
        <v>6</v>
      </c>
      <c r="G3" s="4">
        <v>0</v>
      </c>
      <c r="H3" s="15">
        <v>675122.57900000003</v>
      </c>
      <c r="I3" s="15">
        <v>3366922.1970000002</v>
      </c>
      <c r="J3" s="15"/>
      <c r="K3" s="15"/>
      <c r="L3" s="23" t="s">
        <v>48</v>
      </c>
      <c r="M3" s="23" t="s">
        <v>49</v>
      </c>
      <c r="N3" s="24"/>
    </row>
    <row r="4" spans="1:14" s="12" customFormat="1" x14ac:dyDescent="0.25">
      <c r="A4" s="10">
        <v>7380102</v>
      </c>
      <c r="B4" s="10" t="s">
        <v>15</v>
      </c>
      <c r="C4" s="10" t="s">
        <v>14</v>
      </c>
      <c r="D4" s="10" t="s">
        <v>5</v>
      </c>
      <c r="E4" s="11">
        <v>0.71</v>
      </c>
      <c r="F4" s="10" t="s">
        <v>6</v>
      </c>
      <c r="G4" s="11">
        <v>0</v>
      </c>
      <c r="H4" s="20">
        <v>695241.46</v>
      </c>
      <c r="I4" s="20">
        <v>3357861.409</v>
      </c>
      <c r="J4" s="20">
        <v>12.64</v>
      </c>
      <c r="K4" s="20">
        <f>E4+G4+J4</f>
        <v>13.350000000000001</v>
      </c>
      <c r="L4" s="21">
        <v>-90.968989699999995</v>
      </c>
      <c r="M4" s="21">
        <v>30.336860099999999</v>
      </c>
      <c r="N4" s="22"/>
    </row>
    <row r="5" spans="1:14" s="12" customFormat="1" x14ac:dyDescent="0.25">
      <c r="A5" s="10">
        <v>7378745</v>
      </c>
      <c r="B5" s="10" t="s">
        <v>16</v>
      </c>
      <c r="C5" s="10" t="s">
        <v>14</v>
      </c>
      <c r="D5" s="10" t="s">
        <v>5</v>
      </c>
      <c r="E5" s="11">
        <v>-0.5</v>
      </c>
      <c r="F5" s="10" t="s">
        <v>6</v>
      </c>
      <c r="G5" s="11">
        <v>0</v>
      </c>
      <c r="H5" s="20">
        <v>690297.61</v>
      </c>
      <c r="I5" s="20">
        <v>3356043.13</v>
      </c>
      <c r="J5" s="20">
        <v>8.91</v>
      </c>
      <c r="K5" s="20">
        <f>E5+G5+J5</f>
        <v>8.41</v>
      </c>
      <c r="L5" s="21">
        <v>-91.020722199999994</v>
      </c>
      <c r="M5" s="21">
        <v>30.321249999999999</v>
      </c>
      <c r="N5" s="22"/>
    </row>
    <row r="6" spans="1:14" s="12" customFormat="1" x14ac:dyDescent="0.25">
      <c r="A6" s="10">
        <v>7378746</v>
      </c>
      <c r="B6" s="10" t="s">
        <v>17</v>
      </c>
      <c r="C6" s="10" t="s">
        <v>14</v>
      </c>
      <c r="D6" s="10" t="s">
        <v>5</v>
      </c>
      <c r="E6" s="11">
        <v>-0.5</v>
      </c>
      <c r="F6" s="10" t="s">
        <v>6</v>
      </c>
      <c r="G6" s="11">
        <v>0</v>
      </c>
      <c r="H6" s="20">
        <v>690275.97400000005</v>
      </c>
      <c r="I6" s="20">
        <v>3356058.1519999998</v>
      </c>
      <c r="J6" s="20">
        <v>13.57</v>
      </c>
      <c r="K6" s="20">
        <f>E6+G6+J6</f>
        <v>13.07</v>
      </c>
      <c r="L6" s="21">
        <v>-91.020944400000005</v>
      </c>
      <c r="M6" s="21">
        <v>30.321388890000001</v>
      </c>
      <c r="N6" s="22"/>
    </row>
    <row r="7" spans="1:14" s="12" customFormat="1" x14ac:dyDescent="0.25">
      <c r="A7" s="10">
        <v>7380120</v>
      </c>
      <c r="B7" s="10" t="s">
        <v>18</v>
      </c>
      <c r="C7" s="10" t="s">
        <v>14</v>
      </c>
      <c r="D7" s="10" t="s">
        <v>5</v>
      </c>
      <c r="E7" s="11">
        <v>-1.36</v>
      </c>
      <c r="F7" s="10" t="s">
        <v>6</v>
      </c>
      <c r="G7" s="11">
        <v>0</v>
      </c>
      <c r="H7" s="20">
        <v>706494.95299999998</v>
      </c>
      <c r="I7" s="20">
        <v>3357606.7930000001</v>
      </c>
      <c r="J7" s="20">
        <v>12.34</v>
      </c>
      <c r="K7" s="20">
        <f>E7+G7+J7</f>
        <v>10.98</v>
      </c>
      <c r="L7" s="20">
        <v>-90.852041900000003</v>
      </c>
      <c r="M7" s="20">
        <v>30.332693899999999</v>
      </c>
      <c r="N7" s="22"/>
    </row>
    <row r="8" spans="1:14" x14ac:dyDescent="0.25">
      <c r="A8" s="8">
        <v>7377842</v>
      </c>
      <c r="B8" s="8" t="s">
        <v>50</v>
      </c>
      <c r="C8" s="8" t="s">
        <v>14</v>
      </c>
      <c r="D8" s="8" t="s">
        <v>5</v>
      </c>
      <c r="E8" s="4">
        <v>50.97</v>
      </c>
      <c r="F8" s="8" t="s">
        <v>6</v>
      </c>
      <c r="G8" s="4">
        <v>0</v>
      </c>
      <c r="H8" s="15">
        <v>680115.39500000002</v>
      </c>
      <c r="I8" s="15">
        <v>3384466.84</v>
      </c>
      <c r="J8" s="15"/>
      <c r="K8" s="15"/>
      <c r="L8" s="23" t="s">
        <v>51</v>
      </c>
      <c r="M8" s="23" t="s">
        <v>52</v>
      </c>
      <c r="N8" s="24"/>
    </row>
    <row r="9" spans="1:14" x14ac:dyDescent="0.25">
      <c r="A9" s="8">
        <v>7380108</v>
      </c>
      <c r="B9" s="8" t="s">
        <v>53</v>
      </c>
      <c r="C9" s="8" t="s">
        <v>14</v>
      </c>
      <c r="D9" s="8" t="s">
        <v>5</v>
      </c>
      <c r="E9" s="4">
        <v>0</v>
      </c>
      <c r="F9" s="8" t="s">
        <v>54</v>
      </c>
      <c r="H9" s="15">
        <v>702525.27899999998</v>
      </c>
      <c r="I9" s="15">
        <v>3358927.7390000001</v>
      </c>
      <c r="J9" s="15"/>
      <c r="K9" s="15"/>
      <c r="L9" s="15" t="s">
        <v>55</v>
      </c>
      <c r="M9" s="15" t="s">
        <v>56</v>
      </c>
      <c r="N9" s="24"/>
    </row>
    <row r="10" spans="1:14" s="12" customFormat="1" x14ac:dyDescent="0.25">
      <c r="A10" s="10">
        <v>7377300</v>
      </c>
      <c r="B10" s="10" t="s">
        <v>19</v>
      </c>
      <c r="C10" s="10" t="s">
        <v>14</v>
      </c>
      <c r="D10" s="10" t="s">
        <v>5</v>
      </c>
      <c r="E10" s="11">
        <v>-1.43</v>
      </c>
      <c r="F10" s="10" t="s">
        <v>6</v>
      </c>
      <c r="G10" s="11">
        <v>0</v>
      </c>
      <c r="H10" s="20">
        <v>693727.44200000004</v>
      </c>
      <c r="I10" s="20">
        <v>3379795.1179999998</v>
      </c>
      <c r="J10" s="20">
        <v>58.56</v>
      </c>
      <c r="K10" s="20">
        <f>E10+G10+J10</f>
        <v>57.13</v>
      </c>
      <c r="L10" s="20">
        <v>-90.980657899999997</v>
      </c>
      <c r="M10" s="20">
        <v>30.5349106</v>
      </c>
      <c r="N10" s="22"/>
    </row>
    <row r="11" spans="1:14" s="12" customFormat="1" x14ac:dyDescent="0.25">
      <c r="A11" s="10">
        <v>7380200</v>
      </c>
      <c r="B11" s="10" t="s">
        <v>20</v>
      </c>
      <c r="C11" s="10" t="s">
        <v>14</v>
      </c>
      <c r="D11" s="10" t="s">
        <v>5</v>
      </c>
      <c r="E11" s="11">
        <v>-0.91</v>
      </c>
      <c r="F11" s="10" t="s">
        <v>6</v>
      </c>
      <c r="G11" s="11">
        <v>0</v>
      </c>
      <c r="H11" s="20">
        <v>713617.54099999997</v>
      </c>
      <c r="I11" s="20">
        <v>3351398.449</v>
      </c>
      <c r="J11" s="20">
        <v>4.5199999999999996</v>
      </c>
      <c r="K11" s="20">
        <f>E11+G11+J11</f>
        <v>3.6099999999999994</v>
      </c>
      <c r="L11" s="20">
        <v>-90.779261599999998</v>
      </c>
      <c r="M11" s="20">
        <v>30.275473300000002</v>
      </c>
      <c r="N11" s="22"/>
    </row>
    <row r="12" spans="1:14" x14ac:dyDescent="0.25">
      <c r="A12" s="8">
        <v>7379550</v>
      </c>
      <c r="B12" s="8" t="s">
        <v>57</v>
      </c>
      <c r="C12" s="8" t="s">
        <v>14</v>
      </c>
      <c r="D12" s="8" t="s">
        <v>5</v>
      </c>
      <c r="E12" s="4">
        <v>0</v>
      </c>
      <c r="F12" s="8" t="s">
        <v>6</v>
      </c>
      <c r="G12" s="4">
        <v>0</v>
      </c>
      <c r="H12" s="15">
        <v>677480.76599999995</v>
      </c>
      <c r="I12" s="15">
        <v>3364712.2089999998</v>
      </c>
      <c r="J12" s="15"/>
      <c r="K12" s="15"/>
      <c r="L12" s="15" t="s">
        <v>58</v>
      </c>
      <c r="M12" s="15" t="s">
        <v>59</v>
      </c>
      <c r="N12" s="24"/>
    </row>
    <row r="13" spans="1:14" x14ac:dyDescent="0.25">
      <c r="A13" s="8">
        <v>7378740</v>
      </c>
      <c r="B13" s="8" t="s">
        <v>60</v>
      </c>
      <c r="C13" s="8" t="s">
        <v>14</v>
      </c>
      <c r="D13" s="8" t="s">
        <v>5</v>
      </c>
      <c r="H13" s="15">
        <v>687609.31200000003</v>
      </c>
      <c r="I13" s="15">
        <v>3348589.3280000002</v>
      </c>
      <c r="J13" s="15"/>
      <c r="K13" s="15"/>
      <c r="L13" s="15" t="s">
        <v>61</v>
      </c>
      <c r="M13" s="15" t="s">
        <v>62</v>
      </c>
      <c r="N13" s="24"/>
    </row>
    <row r="14" spans="1:14" s="12" customFormat="1" x14ac:dyDescent="0.25">
      <c r="A14" s="10">
        <v>7380107</v>
      </c>
      <c r="B14" s="10" t="s">
        <v>21</v>
      </c>
      <c r="C14" s="10" t="s">
        <v>14</v>
      </c>
      <c r="D14" s="10" t="s">
        <v>5</v>
      </c>
      <c r="E14" s="11">
        <v>0</v>
      </c>
      <c r="F14" s="10" t="s">
        <v>6</v>
      </c>
      <c r="G14" s="11">
        <v>0</v>
      </c>
      <c r="H14" s="20">
        <v>697421.63899999997</v>
      </c>
      <c r="I14" s="20">
        <v>3356976.6669999999</v>
      </c>
      <c r="J14" s="20">
        <v>16.46</v>
      </c>
      <c r="K14" s="20">
        <f>E14+G14+J14</f>
        <v>16.46</v>
      </c>
      <c r="L14" s="20">
        <v>-90.946488990000006</v>
      </c>
      <c r="M14" s="20">
        <v>30.328527059999999</v>
      </c>
      <c r="N14" s="22"/>
    </row>
    <row r="15" spans="1:14" x14ac:dyDescent="0.25">
      <c r="A15" s="8">
        <v>7378100</v>
      </c>
      <c r="B15" s="8" t="s">
        <v>63</v>
      </c>
      <c r="C15" s="8" t="s">
        <v>14</v>
      </c>
      <c r="D15" s="8" t="s">
        <v>5</v>
      </c>
      <c r="E15" s="4">
        <v>20</v>
      </c>
      <c r="F15" s="8" t="s">
        <v>6</v>
      </c>
      <c r="G15" s="4">
        <v>0</v>
      </c>
      <c r="H15" s="15">
        <v>689873.46799999999</v>
      </c>
      <c r="I15" s="15">
        <v>3380619.9670000002</v>
      </c>
      <c r="J15" s="15"/>
      <c r="K15" s="15"/>
      <c r="L15" s="15">
        <v>-91.020658999999995</v>
      </c>
      <c r="M15" s="15">
        <v>30.542965899999999</v>
      </c>
      <c r="N15" s="24"/>
    </row>
    <row r="16" spans="1:14" x14ac:dyDescent="0.25">
      <c r="A16" s="8">
        <v>7378597</v>
      </c>
      <c r="B16" s="8" t="s">
        <v>64</v>
      </c>
      <c r="C16" s="8" t="s">
        <v>14</v>
      </c>
      <c r="D16" s="8" t="s">
        <v>5</v>
      </c>
      <c r="H16" s="15">
        <v>683927.46600000001</v>
      </c>
      <c r="I16" s="15">
        <v>3371841.602</v>
      </c>
      <c r="J16" s="15"/>
      <c r="K16" s="15"/>
      <c r="L16" s="15" t="s">
        <v>65</v>
      </c>
      <c r="M16" s="15" t="s">
        <v>66</v>
      </c>
      <c r="N16" s="24"/>
    </row>
    <row r="17" spans="1:14" s="12" customFormat="1" x14ac:dyDescent="0.25">
      <c r="A17" s="10">
        <v>7378050</v>
      </c>
      <c r="B17" s="10" t="s">
        <v>22</v>
      </c>
      <c r="C17" s="10" t="s">
        <v>14</v>
      </c>
      <c r="D17" s="10" t="s">
        <v>5</v>
      </c>
      <c r="E17" s="11">
        <v>-0.95</v>
      </c>
      <c r="F17" s="10" t="s">
        <v>6</v>
      </c>
      <c r="G17" s="11">
        <v>0</v>
      </c>
      <c r="H17" s="20">
        <v>688079.52899999998</v>
      </c>
      <c r="I17" s="20">
        <v>3376461.4389999998</v>
      </c>
      <c r="J17" s="20">
        <v>47.86</v>
      </c>
      <c r="K17" s="20">
        <f>E17+G17+J17</f>
        <v>46.91</v>
      </c>
      <c r="L17" s="20">
        <v>-91.040103799999997</v>
      </c>
      <c r="M17" s="20">
        <v>30.505744660000001</v>
      </c>
      <c r="N17" s="22"/>
    </row>
    <row r="18" spans="1:14" s="12" customFormat="1" x14ac:dyDescent="0.25">
      <c r="A18" s="10">
        <v>7380215</v>
      </c>
      <c r="B18" s="10" t="s">
        <v>23</v>
      </c>
      <c r="C18" s="10" t="s">
        <v>14</v>
      </c>
      <c r="D18" s="10" t="s">
        <v>5</v>
      </c>
      <c r="E18" s="11">
        <v>-1.38</v>
      </c>
      <c r="F18" s="10" t="s">
        <v>6</v>
      </c>
      <c r="G18" s="11">
        <v>0</v>
      </c>
      <c r="H18" s="20">
        <v>729951.39500000002</v>
      </c>
      <c r="I18" s="20">
        <v>3355303.65</v>
      </c>
      <c r="J18" s="20">
        <v>2.72</v>
      </c>
      <c r="K18" s="20">
        <f>E18+G18+J18</f>
        <v>1.3400000000000003</v>
      </c>
      <c r="L18" s="20">
        <v>-90.608722200000003</v>
      </c>
      <c r="M18" s="20">
        <v>30.307694439999999</v>
      </c>
      <c r="N18" s="22"/>
    </row>
    <row r="19" spans="1:14" x14ac:dyDescent="0.25">
      <c r="A19" s="8">
        <v>7377250</v>
      </c>
      <c r="B19" s="8" t="s">
        <v>67</v>
      </c>
      <c r="C19" s="8" t="s">
        <v>14</v>
      </c>
      <c r="D19" s="8" t="s">
        <v>5</v>
      </c>
      <c r="E19" s="4">
        <v>0</v>
      </c>
      <c r="F19" s="8" t="s">
        <v>54</v>
      </c>
      <c r="H19" s="15">
        <v>692351.57700000005</v>
      </c>
      <c r="I19" s="15">
        <v>3387234.47</v>
      </c>
      <c r="J19" s="15"/>
      <c r="K19" s="15"/>
      <c r="L19" s="15" t="s">
        <v>68</v>
      </c>
      <c r="M19" s="15" t="s">
        <v>69</v>
      </c>
      <c r="N19" s="24"/>
    </row>
    <row r="20" spans="1:14" x14ac:dyDescent="0.25">
      <c r="A20" s="8">
        <v>7380161</v>
      </c>
      <c r="B20" s="8" t="s">
        <v>70</v>
      </c>
      <c r="C20" s="8" t="s">
        <v>14</v>
      </c>
      <c r="D20" s="8" t="s">
        <v>5</v>
      </c>
      <c r="E20" s="4">
        <v>0</v>
      </c>
      <c r="F20" s="8" t="s">
        <v>6</v>
      </c>
      <c r="G20" s="4">
        <v>0</v>
      </c>
      <c r="H20" s="15">
        <v>707620.83200000005</v>
      </c>
      <c r="I20" s="15">
        <v>3373285.8689999999</v>
      </c>
      <c r="J20" s="15"/>
      <c r="K20" s="15"/>
      <c r="L20" s="15" t="s">
        <v>71</v>
      </c>
      <c r="M20" s="15" t="s">
        <v>72</v>
      </c>
      <c r="N20" s="24"/>
    </row>
    <row r="21" spans="1:14" x14ac:dyDescent="0.25">
      <c r="A21" s="8">
        <v>7380160</v>
      </c>
      <c r="B21" s="8" t="s">
        <v>73</v>
      </c>
      <c r="C21" s="8" t="s">
        <v>14</v>
      </c>
      <c r="D21" s="8" t="s">
        <v>5</v>
      </c>
      <c r="E21" s="4">
        <v>0</v>
      </c>
      <c r="F21" s="8" t="s">
        <v>54</v>
      </c>
      <c r="H21" s="15">
        <v>707236.23699999996</v>
      </c>
      <c r="I21" s="15">
        <v>3373863.79</v>
      </c>
      <c r="J21" s="15"/>
      <c r="K21" s="15"/>
      <c r="L21" s="15" t="s">
        <v>74</v>
      </c>
      <c r="M21" s="15" t="s">
        <v>75</v>
      </c>
      <c r="N21" s="24"/>
    </row>
    <row r="22" spans="1:14" s="12" customFormat="1" x14ac:dyDescent="0.25">
      <c r="A22" s="10">
        <v>7379960</v>
      </c>
      <c r="B22" s="10" t="s">
        <v>24</v>
      </c>
      <c r="C22" s="10" t="s">
        <v>14</v>
      </c>
      <c r="D22" s="10" t="s">
        <v>5</v>
      </c>
      <c r="E22" s="11">
        <v>0</v>
      </c>
      <c r="F22" s="10" t="s">
        <v>6</v>
      </c>
      <c r="G22" s="11">
        <v>0</v>
      </c>
      <c r="H22" s="20">
        <v>683110.94</v>
      </c>
      <c r="I22" s="20">
        <v>3362701.7560000001</v>
      </c>
      <c r="J22" s="20">
        <v>23.63</v>
      </c>
      <c r="K22" s="20">
        <f>E22+G22+J22</f>
        <v>23.63</v>
      </c>
      <c r="L22" s="20">
        <v>-91.094271199999994</v>
      </c>
      <c r="M22" s="20">
        <v>30.382414449999999</v>
      </c>
      <c r="N22" s="22"/>
    </row>
    <row r="23" spans="1:14" x14ac:dyDescent="0.25">
      <c r="A23" s="8">
        <v>7377782</v>
      </c>
      <c r="B23" s="8" t="s">
        <v>76</v>
      </c>
      <c r="C23" s="8" t="s">
        <v>14</v>
      </c>
      <c r="D23" s="8" t="s">
        <v>5</v>
      </c>
      <c r="E23" s="4">
        <v>65</v>
      </c>
      <c r="F23" s="8" t="s">
        <v>54</v>
      </c>
      <c r="H23" s="15">
        <v>679438.78200000001</v>
      </c>
      <c r="I23" s="15">
        <v>3390882.4750000001</v>
      </c>
      <c r="J23" s="15"/>
      <c r="K23" s="15"/>
      <c r="L23" s="15" t="s">
        <v>77</v>
      </c>
      <c r="M23" s="15" t="s">
        <v>78</v>
      </c>
      <c r="N23" s="24"/>
    </row>
    <row r="24" spans="1:14" s="12" customFormat="1" x14ac:dyDescent="0.25">
      <c r="A24" s="10">
        <v>7377500</v>
      </c>
      <c r="B24" s="10" t="s">
        <v>25</v>
      </c>
      <c r="C24" s="10" t="s">
        <v>14</v>
      </c>
      <c r="D24" s="10" t="s">
        <v>5</v>
      </c>
      <c r="E24" s="11">
        <v>113.15</v>
      </c>
      <c r="F24" s="10" t="s">
        <v>6</v>
      </c>
      <c r="G24" s="11">
        <v>0</v>
      </c>
      <c r="H24" s="20">
        <v>687222.37100000004</v>
      </c>
      <c r="I24" s="20">
        <v>3404259.17</v>
      </c>
      <c r="J24" s="20">
        <v>26.96</v>
      </c>
      <c r="K24" s="20">
        <f>E24+G24+J24</f>
        <v>140.11000000000001</v>
      </c>
      <c r="L24" s="20">
        <v>-91.043993499999999</v>
      </c>
      <c r="M24" s="20">
        <v>30.7565718</v>
      </c>
      <c r="N24" s="22"/>
    </row>
    <row r="25" spans="1:14" s="12" customFormat="1" x14ac:dyDescent="0.25">
      <c r="A25" s="10">
        <v>7377870</v>
      </c>
      <c r="B25" s="10" t="s">
        <v>26</v>
      </c>
      <c r="C25" s="10" t="s">
        <v>14</v>
      </c>
      <c r="D25" s="10" t="s">
        <v>5</v>
      </c>
      <c r="E25" s="11">
        <v>28.49</v>
      </c>
      <c r="F25" s="10" t="s">
        <v>6</v>
      </c>
      <c r="G25" s="11">
        <v>0</v>
      </c>
      <c r="H25" s="20">
        <v>682886.87199999997</v>
      </c>
      <c r="I25" s="20">
        <v>3379144.3879999998</v>
      </c>
      <c r="J25" s="20">
        <v>31.93</v>
      </c>
      <c r="K25" s="20">
        <f>E25+G25+J25</f>
        <v>60.42</v>
      </c>
      <c r="L25" s="20">
        <v>-91.093716400000005</v>
      </c>
      <c r="M25" s="20">
        <v>30.53074415</v>
      </c>
      <c r="N25" s="22"/>
    </row>
    <row r="26" spans="1:14" s="12" customFormat="1" x14ac:dyDescent="0.25">
      <c r="A26" s="10">
        <v>7377000</v>
      </c>
      <c r="B26" s="10" t="s">
        <v>27</v>
      </c>
      <c r="C26" s="10" t="s">
        <v>14</v>
      </c>
      <c r="D26" s="10" t="s">
        <v>5</v>
      </c>
      <c r="E26" s="11">
        <v>145.36000000000001</v>
      </c>
      <c r="F26" s="10" t="s">
        <v>6</v>
      </c>
      <c r="G26" s="11">
        <v>0</v>
      </c>
      <c r="H26" s="20">
        <v>706033.72900000005</v>
      </c>
      <c r="I26" s="20">
        <v>3419298.3089999999</v>
      </c>
      <c r="J26" s="20">
        <v>22.54</v>
      </c>
      <c r="K26" s="20">
        <f>E26+G26+J26</f>
        <v>167.9</v>
      </c>
      <c r="L26" s="20">
        <v>-90.844545400000001</v>
      </c>
      <c r="M26" s="20">
        <v>30.8890694</v>
      </c>
      <c r="N26" s="22"/>
    </row>
    <row r="27" spans="1:14" s="12" customFormat="1" x14ac:dyDescent="0.25">
      <c r="A27" s="10">
        <v>7377600</v>
      </c>
      <c r="B27" s="10" t="s">
        <v>28</v>
      </c>
      <c r="C27" s="10" t="s">
        <v>14</v>
      </c>
      <c r="D27" s="10" t="s">
        <v>5</v>
      </c>
      <c r="E27" s="11">
        <v>80</v>
      </c>
      <c r="F27" s="10" t="s">
        <v>6</v>
      </c>
      <c r="G27" s="11">
        <v>0</v>
      </c>
      <c r="H27" s="20">
        <v>686627.57799999998</v>
      </c>
      <c r="I27" s="20">
        <v>3398230.3640000001</v>
      </c>
      <c r="J27" s="20">
        <v>39.549999999999997</v>
      </c>
      <c r="K27" s="20">
        <f>E27+G27+J27</f>
        <v>119.55</v>
      </c>
      <c r="L27" s="20">
        <v>-91.051299099999994</v>
      </c>
      <c r="M27" s="20">
        <v>30.702295379999999</v>
      </c>
      <c r="N27" s="22"/>
    </row>
    <row r="28" spans="1:14" s="12" customFormat="1" x14ac:dyDescent="0.25">
      <c r="A28" s="10">
        <v>7380101</v>
      </c>
      <c r="B28" s="10" t="s">
        <v>29</v>
      </c>
      <c r="C28" s="10" t="s">
        <v>14</v>
      </c>
      <c r="D28" s="10" t="s">
        <v>5</v>
      </c>
      <c r="E28" s="11">
        <v>-1.28</v>
      </c>
      <c r="F28" s="10" t="s">
        <v>6</v>
      </c>
      <c r="G28" s="11">
        <v>0</v>
      </c>
      <c r="H28" s="20">
        <v>700202.03799999994</v>
      </c>
      <c r="I28" s="20">
        <v>3358351.827</v>
      </c>
      <c r="J28" s="20">
        <v>17.47</v>
      </c>
      <c r="K28" s="20">
        <f>E28+G28+J28</f>
        <v>16.189999999999998</v>
      </c>
      <c r="L28" s="20">
        <v>-90.917321599999994</v>
      </c>
      <c r="M28" s="20">
        <v>30.34047129</v>
      </c>
      <c r="N28" s="22"/>
    </row>
    <row r="29" spans="1:14" s="12" customFormat="1" x14ac:dyDescent="0.25">
      <c r="A29" s="10">
        <v>7377760</v>
      </c>
      <c r="B29" s="10" t="s">
        <v>30</v>
      </c>
      <c r="C29" s="10" t="s">
        <v>14</v>
      </c>
      <c r="D29" s="10" t="s">
        <v>5</v>
      </c>
      <c r="E29" s="11">
        <v>36.43</v>
      </c>
      <c r="F29" s="10" t="s">
        <v>6</v>
      </c>
      <c r="G29" s="11">
        <v>0</v>
      </c>
      <c r="H29" s="20">
        <v>682398.22600000002</v>
      </c>
      <c r="I29" s="20">
        <v>3382188.3050000002</v>
      </c>
      <c r="J29" s="20">
        <v>29.36</v>
      </c>
      <c r="K29" s="20">
        <f>E29+G29+J29</f>
        <v>65.789999999999992</v>
      </c>
      <c r="L29" s="20" t="s">
        <v>79</v>
      </c>
      <c r="M29" s="20">
        <v>30.558271260000001</v>
      </c>
      <c r="N29" s="22"/>
    </row>
    <row r="30" spans="1:14" s="12" customFormat="1" x14ac:dyDescent="0.25">
      <c r="A30" s="10">
        <v>7377150</v>
      </c>
      <c r="B30" s="10" t="s">
        <v>31</v>
      </c>
      <c r="C30" s="10" t="s">
        <v>14</v>
      </c>
      <c r="D30" s="10" t="s">
        <v>5</v>
      </c>
      <c r="E30" s="11">
        <v>71.400000000000006</v>
      </c>
      <c r="F30" s="10" t="s">
        <v>6</v>
      </c>
      <c r="G30" s="11">
        <v>0</v>
      </c>
      <c r="H30" s="20">
        <v>706626.31499999994</v>
      </c>
      <c r="I30" s="20">
        <v>3402366.926</v>
      </c>
      <c r="J30" s="20">
        <v>44.62</v>
      </c>
      <c r="K30" s="20">
        <f>E30+G30+J30</f>
        <v>116.02000000000001</v>
      </c>
      <c r="L30" s="20">
        <v>-90.841766989999996</v>
      </c>
      <c r="M30" s="20">
        <v>30.736294839999999</v>
      </c>
      <c r="N30" s="22"/>
    </row>
    <row r="31" spans="1:14" x14ac:dyDescent="0.25">
      <c r="A31" s="8">
        <v>7378010</v>
      </c>
      <c r="B31" s="8" t="s">
        <v>80</v>
      </c>
      <c r="C31" s="8" t="s">
        <v>14</v>
      </c>
      <c r="D31" s="8" t="s">
        <v>5</v>
      </c>
      <c r="E31" s="4">
        <v>0</v>
      </c>
      <c r="F31" s="8" t="s">
        <v>6</v>
      </c>
      <c r="G31" s="4">
        <v>0</v>
      </c>
      <c r="H31" s="15">
        <v>683358.42500000005</v>
      </c>
      <c r="I31" s="15">
        <v>3374574.1660000002</v>
      </c>
      <c r="J31" s="15"/>
      <c r="K31" s="15"/>
      <c r="L31" s="15" t="s">
        <v>81</v>
      </c>
      <c r="M31" s="15" t="s">
        <v>82</v>
      </c>
      <c r="N31" s="24"/>
    </row>
    <row r="32" spans="1:14" s="12" customFormat="1" x14ac:dyDescent="0.25">
      <c r="A32" s="10">
        <v>7378000</v>
      </c>
      <c r="B32" s="10" t="s">
        <v>32</v>
      </c>
      <c r="C32" s="10" t="s">
        <v>14</v>
      </c>
      <c r="D32" s="10" t="s">
        <v>5</v>
      </c>
      <c r="E32" s="11">
        <v>21.51</v>
      </c>
      <c r="F32" s="10" t="s">
        <v>6</v>
      </c>
      <c r="G32" s="11">
        <v>0</v>
      </c>
      <c r="H32" s="20">
        <v>684806.375</v>
      </c>
      <c r="I32" s="20">
        <v>3377202.7489999998</v>
      </c>
      <c r="J32" s="20">
        <v>34.07</v>
      </c>
      <c r="K32" s="20">
        <f>E32+G32+J32</f>
        <v>55.58</v>
      </c>
      <c r="L32" s="20">
        <v>-91.073715800000002</v>
      </c>
      <c r="M32" s="20">
        <v>30.512689000000002</v>
      </c>
      <c r="N32" s="22"/>
    </row>
    <row r="33" spans="1:14" x14ac:dyDescent="0.25">
      <c r="A33" s="8">
        <v>7377650</v>
      </c>
      <c r="B33" s="8" t="s">
        <v>83</v>
      </c>
      <c r="C33" s="8" t="s">
        <v>14</v>
      </c>
      <c r="D33" s="8" t="s">
        <v>5</v>
      </c>
      <c r="E33" s="4">
        <v>230</v>
      </c>
      <c r="F33" s="8" t="s">
        <v>54</v>
      </c>
      <c r="H33" s="15">
        <v>680443.79399999999</v>
      </c>
      <c r="I33" s="15">
        <v>3419768.5950000002</v>
      </c>
      <c r="J33" s="15"/>
      <c r="K33" s="15"/>
      <c r="L33" s="15" t="s">
        <v>84</v>
      </c>
      <c r="M33" s="15" t="s">
        <v>85</v>
      </c>
      <c r="N33" s="24"/>
    </row>
    <row r="34" spans="1:14" x14ac:dyDescent="0.25">
      <c r="A34" s="8">
        <v>7377700</v>
      </c>
      <c r="B34" s="8" t="s">
        <v>86</v>
      </c>
      <c r="C34" s="8" t="s">
        <v>14</v>
      </c>
      <c r="D34" s="8" t="s">
        <v>5</v>
      </c>
      <c r="H34" s="15">
        <v>680448.07</v>
      </c>
      <c r="I34" s="15">
        <v>3401134.7769999998</v>
      </c>
      <c r="J34" s="15"/>
      <c r="K34" s="15"/>
      <c r="L34" s="15" t="s">
        <v>87</v>
      </c>
      <c r="M34" s="15" t="s">
        <v>88</v>
      </c>
      <c r="N34" s="24"/>
    </row>
    <row r="35" spans="1:14" s="12" customFormat="1" x14ac:dyDescent="0.25">
      <c r="A35" s="10">
        <v>7377754</v>
      </c>
      <c r="B35" s="10" t="s">
        <v>33</v>
      </c>
      <c r="C35" s="10" t="s">
        <v>14</v>
      </c>
      <c r="D35" s="10" t="s">
        <v>5</v>
      </c>
      <c r="E35" s="11">
        <v>48.2</v>
      </c>
      <c r="F35" s="10" t="s">
        <v>6</v>
      </c>
      <c r="G35" s="11">
        <v>0</v>
      </c>
      <c r="H35" s="20">
        <v>682710.59499999997</v>
      </c>
      <c r="I35" s="20">
        <v>3386409.9750000001</v>
      </c>
      <c r="J35" s="20">
        <v>26.91</v>
      </c>
      <c r="K35" s="20">
        <f>E35+G35+J35</f>
        <v>75.11</v>
      </c>
      <c r="L35" s="20">
        <v>-91.094272200000006</v>
      </c>
      <c r="M35" s="20">
        <v>30.596298090000001</v>
      </c>
      <c r="N35" s="22"/>
    </row>
    <row r="36" spans="1:14" x14ac:dyDescent="0.25">
      <c r="A36" s="8">
        <v>7377755</v>
      </c>
      <c r="B36" s="8" t="s">
        <v>89</v>
      </c>
      <c r="C36" s="8" t="s">
        <v>14</v>
      </c>
      <c r="D36" s="8" t="s">
        <v>5</v>
      </c>
      <c r="E36" s="4">
        <v>-1.85</v>
      </c>
      <c r="F36" s="8" t="s">
        <v>6</v>
      </c>
      <c r="G36" s="4">
        <v>0</v>
      </c>
      <c r="H36" s="15">
        <v>680593.32200000004</v>
      </c>
      <c r="I36" s="15">
        <v>3388682.1439999999</v>
      </c>
      <c r="J36" s="15"/>
      <c r="K36" s="15"/>
      <c r="L36" s="15" t="s">
        <v>90</v>
      </c>
      <c r="M36" s="15" t="s">
        <v>91</v>
      </c>
      <c r="N36" s="24"/>
    </row>
    <row r="37" spans="1:14" s="12" customFormat="1" x14ac:dyDescent="0.25">
      <c r="A37" s="10">
        <v>7378083</v>
      </c>
      <c r="B37" s="10" t="s">
        <v>34</v>
      </c>
      <c r="C37" s="10" t="s">
        <v>14</v>
      </c>
      <c r="D37" s="10" t="s">
        <v>5</v>
      </c>
      <c r="E37" s="11">
        <v>48.78</v>
      </c>
      <c r="F37" s="10" t="s">
        <v>6</v>
      </c>
      <c r="G37" s="11">
        <v>0</v>
      </c>
      <c r="H37" s="20">
        <v>689811.65899999999</v>
      </c>
      <c r="I37" s="20">
        <v>3382620.9029999999</v>
      </c>
      <c r="J37" s="20">
        <v>13.5</v>
      </c>
      <c r="K37" s="20">
        <f>E37+G37+J37</f>
        <v>62.28</v>
      </c>
      <c r="L37" s="20">
        <v>-91.020936800000001</v>
      </c>
      <c r="M37" s="20">
        <v>30.561021029999999</v>
      </c>
      <c r="N37" s="22"/>
    </row>
    <row r="38" spans="1:14" s="12" customFormat="1" x14ac:dyDescent="0.25">
      <c r="A38" s="10">
        <v>7378722</v>
      </c>
      <c r="B38" s="10" t="s">
        <v>35</v>
      </c>
      <c r="C38" s="10" t="s">
        <v>14</v>
      </c>
      <c r="D38" s="10" t="s">
        <v>5</v>
      </c>
      <c r="E38" s="11">
        <v>0</v>
      </c>
      <c r="F38" s="10" t="s">
        <v>6</v>
      </c>
      <c r="G38" s="11">
        <v>0</v>
      </c>
      <c r="H38" s="20">
        <v>691458.12899999996</v>
      </c>
      <c r="I38" s="20">
        <v>3363338.2239999999</v>
      </c>
      <c r="J38" s="20">
        <v>26.72</v>
      </c>
      <c r="K38" s="20">
        <f>E38+G38+J38</f>
        <v>26.72</v>
      </c>
      <c r="L38" s="20">
        <v>-91.007324400000002</v>
      </c>
      <c r="M38" s="20">
        <v>30.386858740000001</v>
      </c>
      <c r="N38" s="22"/>
    </row>
    <row r="39" spans="1:14" s="12" customFormat="1" x14ac:dyDescent="0.25">
      <c r="A39" s="10">
        <v>7377230</v>
      </c>
      <c r="B39" s="10" t="s">
        <v>36</v>
      </c>
      <c r="C39" s="10" t="s">
        <v>14</v>
      </c>
      <c r="D39" s="10" t="s">
        <v>5</v>
      </c>
      <c r="E39" s="11">
        <v>39.08</v>
      </c>
      <c r="F39" s="10" t="s">
        <v>6</v>
      </c>
      <c r="G39" s="11">
        <v>0</v>
      </c>
      <c r="H39" s="11">
        <v>690956.21299999999</v>
      </c>
      <c r="I39" s="11">
        <v>3391774.1519999998</v>
      </c>
      <c r="J39" s="11">
        <v>34.229999999999997</v>
      </c>
      <c r="K39" s="11">
        <f>E39+G39+J39</f>
        <v>73.31</v>
      </c>
      <c r="L39" s="11">
        <v>-91.007464499999998</v>
      </c>
      <c r="M39" s="11">
        <v>30.643685600000001</v>
      </c>
    </row>
    <row r="40" spans="1:14" x14ac:dyDescent="0.25">
      <c r="A40" s="8">
        <v>7377240</v>
      </c>
      <c r="B40" s="8" t="s">
        <v>92</v>
      </c>
      <c r="C40" s="8" t="s">
        <v>14</v>
      </c>
      <c r="D40" s="8" t="s">
        <v>5</v>
      </c>
      <c r="E40" s="4">
        <v>0</v>
      </c>
      <c r="F40" s="8" t="s">
        <v>54</v>
      </c>
      <c r="H40" s="4">
        <v>692706.66700000002</v>
      </c>
      <c r="I40" s="4">
        <v>3389952.534</v>
      </c>
      <c r="L40" s="4" t="s">
        <v>93</v>
      </c>
      <c r="M40" s="4" t="s">
        <v>94</v>
      </c>
    </row>
    <row r="41" spans="1:14" x14ac:dyDescent="0.25">
      <c r="A41" s="8">
        <v>73801060</v>
      </c>
      <c r="B41" s="8" t="s">
        <v>95</v>
      </c>
      <c r="C41" s="8" t="s">
        <v>14</v>
      </c>
      <c r="D41" s="8" t="s">
        <v>5</v>
      </c>
      <c r="H41" s="4">
        <v>697434.429</v>
      </c>
      <c r="I41" s="4">
        <v>3356935.3360000001</v>
      </c>
      <c r="L41" s="4" t="s">
        <v>96</v>
      </c>
      <c r="M41" s="4" t="s">
        <v>97</v>
      </c>
    </row>
    <row r="42" spans="1:14" s="12" customFormat="1" x14ac:dyDescent="0.25">
      <c r="A42" s="10">
        <v>7377750</v>
      </c>
      <c r="B42" s="10" t="s">
        <v>37</v>
      </c>
      <c r="C42" s="10" t="s">
        <v>14</v>
      </c>
      <c r="D42" s="10" t="s">
        <v>5</v>
      </c>
      <c r="E42" s="11">
        <v>58.58</v>
      </c>
      <c r="F42" s="10" t="s">
        <v>6</v>
      </c>
      <c r="G42" s="11">
        <v>0</v>
      </c>
      <c r="H42" s="11">
        <v>682595.78099999996</v>
      </c>
      <c r="I42" s="11">
        <v>3391613.1090000002</v>
      </c>
      <c r="J42" s="11">
        <v>31.99</v>
      </c>
      <c r="K42" s="11">
        <f>E42+G42+J42</f>
        <v>90.57</v>
      </c>
      <c r="L42" s="11">
        <v>-91.094549999999998</v>
      </c>
      <c r="M42" s="11">
        <v>30.643241379999999</v>
      </c>
    </row>
    <row r="43" spans="1:14" s="12" customFormat="1" x14ac:dyDescent="0.25">
      <c r="A43" s="10">
        <v>7377780</v>
      </c>
      <c r="B43" s="10" t="s">
        <v>38</v>
      </c>
      <c r="C43" s="10" t="s">
        <v>14</v>
      </c>
      <c r="D43" s="10" t="s">
        <v>5</v>
      </c>
      <c r="E43" s="11">
        <v>49.15</v>
      </c>
      <c r="F43" s="10" t="s">
        <v>6</v>
      </c>
      <c r="G43" s="11">
        <v>0</v>
      </c>
      <c r="H43" s="11">
        <v>679043.49300000002</v>
      </c>
      <c r="I43" s="11">
        <v>3392231.0389999999</v>
      </c>
      <c r="J43" s="11">
        <v>43.87</v>
      </c>
      <c r="K43" s="11">
        <f>E43+G43+J43</f>
        <v>93.02</v>
      </c>
      <c r="L43" s="13">
        <v>-91.131495400000006</v>
      </c>
      <c r="M43" s="13">
        <v>30.649352400000001</v>
      </c>
    </row>
    <row r="44" spans="1:14" s="12" customFormat="1" x14ac:dyDescent="0.25">
      <c r="A44" s="10">
        <v>7379000</v>
      </c>
      <c r="B44" s="10" t="s">
        <v>39</v>
      </c>
      <c r="C44" s="10" t="s">
        <v>14</v>
      </c>
      <c r="D44" s="10" t="s">
        <v>5</v>
      </c>
      <c r="E44" s="11">
        <v>-2.09</v>
      </c>
      <c r="F44" s="10" t="s">
        <v>6</v>
      </c>
      <c r="G44" s="11">
        <v>0</v>
      </c>
      <c r="H44" s="11">
        <v>678314.43</v>
      </c>
      <c r="I44" s="11">
        <v>3369534.6979999999</v>
      </c>
      <c r="J44" s="11">
        <v>43.87</v>
      </c>
      <c r="K44" s="11">
        <f>E44+G44+J44</f>
        <v>41.78</v>
      </c>
      <c r="L44" s="13">
        <v>-91.143161800000001</v>
      </c>
      <c r="M44" s="13">
        <v>30.44446855</v>
      </c>
    </row>
    <row r="45" spans="1:14" s="12" customFormat="1" x14ac:dyDescent="0.25">
      <c r="A45" s="10">
        <v>7379100</v>
      </c>
      <c r="B45" s="10" t="s">
        <v>40</v>
      </c>
      <c r="C45" s="10" t="s">
        <v>14</v>
      </c>
      <c r="D45" s="10" t="s">
        <v>5</v>
      </c>
      <c r="E45" s="11">
        <v>0</v>
      </c>
      <c r="F45" s="10" t="s">
        <v>6</v>
      </c>
      <c r="G45" s="11">
        <v>0</v>
      </c>
      <c r="H45" s="11">
        <v>683327.67700000003</v>
      </c>
      <c r="I45" s="11">
        <v>3366635.4750000001</v>
      </c>
      <c r="J45" s="11">
        <v>28.77</v>
      </c>
      <c r="K45" s="11">
        <f>E45+G45+J45</f>
        <v>28.77</v>
      </c>
      <c r="L45" s="13">
        <v>-91.091493499999999</v>
      </c>
      <c r="M45" s="13">
        <v>30.41796914</v>
      </c>
    </row>
    <row r="46" spans="1:14" s="12" customFormat="1" x14ac:dyDescent="0.25">
      <c r="A46" s="10">
        <v>73801175</v>
      </c>
      <c r="B46" s="10" t="s">
        <v>41</v>
      </c>
      <c r="C46" s="10" t="s">
        <v>14</v>
      </c>
      <c r="D46" s="10" t="s">
        <v>5</v>
      </c>
      <c r="E46" s="11">
        <v>0</v>
      </c>
      <c r="F46" s="10" t="s">
        <v>6</v>
      </c>
      <c r="G46" s="11">
        <v>0</v>
      </c>
      <c r="H46" s="11">
        <v>700266.39300000004</v>
      </c>
      <c r="I46" s="11">
        <v>3366260.0490000001</v>
      </c>
      <c r="J46" s="11">
        <v>30.21</v>
      </c>
      <c r="K46" s="11">
        <f>E46+G46+J46</f>
        <v>30.21</v>
      </c>
      <c r="L46" s="13">
        <v>-90.915138900000002</v>
      </c>
      <c r="M46" s="13">
        <v>30.411777780000001</v>
      </c>
    </row>
    <row r="47" spans="1:14" x14ac:dyDescent="0.25">
      <c r="A47" s="8">
        <v>7378620</v>
      </c>
      <c r="B47" s="8" t="s">
        <v>98</v>
      </c>
      <c r="C47" s="8" t="s">
        <v>14</v>
      </c>
      <c r="D47" s="8" t="s">
        <v>5</v>
      </c>
      <c r="H47" s="4">
        <v>685636.28899999999</v>
      </c>
      <c r="I47" s="4">
        <v>3369848.7259999998</v>
      </c>
      <c r="L47" s="5" t="s">
        <v>99</v>
      </c>
      <c r="M47" s="5" t="s">
        <v>100</v>
      </c>
    </row>
    <row r="48" spans="1:14" x14ac:dyDescent="0.25">
      <c r="A48" s="8">
        <v>7380000</v>
      </c>
      <c r="B48" s="8" t="s">
        <v>101</v>
      </c>
      <c r="C48" s="8" t="s">
        <v>14</v>
      </c>
      <c r="D48" s="8" t="s">
        <v>5</v>
      </c>
      <c r="E48" s="4">
        <v>0</v>
      </c>
      <c r="F48" s="8" t="s">
        <v>54</v>
      </c>
      <c r="H48" s="4">
        <v>685498.848</v>
      </c>
      <c r="I48" s="4">
        <v>3362016.523</v>
      </c>
      <c r="L48" s="5" t="s">
        <v>102</v>
      </c>
      <c r="M48" s="5" t="s">
        <v>103</v>
      </c>
    </row>
    <row r="49" spans="1:13" s="12" customFormat="1" x14ac:dyDescent="0.25">
      <c r="A49" s="10">
        <v>7378500</v>
      </c>
      <c r="B49" s="10" t="s">
        <v>42</v>
      </c>
      <c r="C49" s="10" t="s">
        <v>14</v>
      </c>
      <c r="D49" s="10" t="s">
        <v>5</v>
      </c>
      <c r="E49" s="11">
        <v>-1.35</v>
      </c>
      <c r="F49" s="10" t="s">
        <v>6</v>
      </c>
      <c r="G49" s="11">
        <v>0</v>
      </c>
      <c r="H49" s="11">
        <v>693012.09900000005</v>
      </c>
      <c r="I49" s="11">
        <v>3371996.1170000001</v>
      </c>
      <c r="J49" s="11">
        <v>45.86</v>
      </c>
      <c r="K49" s="11">
        <f>E49+G48+J49</f>
        <v>44.51</v>
      </c>
      <c r="L49" s="13">
        <v>-90.990380000000002</v>
      </c>
      <c r="M49" s="13">
        <v>30.464079000000002</v>
      </c>
    </row>
    <row r="50" spans="1:13" s="12" customFormat="1" x14ac:dyDescent="0.25">
      <c r="A50" s="10">
        <v>7378810</v>
      </c>
      <c r="B50" s="10" t="s">
        <v>43</v>
      </c>
      <c r="C50" s="10" t="s">
        <v>14</v>
      </c>
      <c r="D50" s="10" t="s">
        <v>5</v>
      </c>
      <c r="E50" s="11">
        <v>0</v>
      </c>
      <c r="F50" s="10" t="s">
        <v>6</v>
      </c>
      <c r="G50" s="11">
        <v>0</v>
      </c>
      <c r="H50" s="11">
        <v>681820.39399999997</v>
      </c>
      <c r="I50" s="11">
        <v>3360031.4980000001</v>
      </c>
      <c r="J50" s="11">
        <v>12.04</v>
      </c>
      <c r="K50" s="11">
        <f>E50+G50+J50</f>
        <v>12.04</v>
      </c>
      <c r="L50" s="13">
        <v>-91.108160299999994</v>
      </c>
      <c r="M50" s="13">
        <v>30.358526149999999</v>
      </c>
    </row>
    <row r="51" spans="1:13" x14ac:dyDescent="0.25">
      <c r="A51" s="8">
        <v>7378510</v>
      </c>
      <c r="B51" s="8" t="s">
        <v>104</v>
      </c>
      <c r="C51" s="8" t="s">
        <v>14</v>
      </c>
      <c r="D51" s="8" t="s">
        <v>5</v>
      </c>
      <c r="E51" s="4">
        <v>0</v>
      </c>
      <c r="F51" s="8" t="s">
        <v>54</v>
      </c>
      <c r="H51" s="4">
        <v>694581.62</v>
      </c>
      <c r="I51" s="4">
        <v>3369382.341</v>
      </c>
      <c r="L51" s="5" t="s">
        <v>105</v>
      </c>
      <c r="M51" s="5" t="s">
        <v>106</v>
      </c>
    </row>
    <row r="52" spans="1:13" s="12" customFormat="1" x14ac:dyDescent="0.25">
      <c r="A52" s="10">
        <v>7379050</v>
      </c>
      <c r="B52" s="10" t="s">
        <v>44</v>
      </c>
      <c r="C52" s="10" t="s">
        <v>14</v>
      </c>
      <c r="D52" s="10" t="s">
        <v>5</v>
      </c>
      <c r="E52" s="11">
        <v>0</v>
      </c>
      <c r="F52" s="10" t="s">
        <v>6</v>
      </c>
      <c r="G52" s="11">
        <v>0</v>
      </c>
      <c r="H52" s="11">
        <v>682188.19299999997</v>
      </c>
      <c r="I52" s="11">
        <v>3365180.909</v>
      </c>
      <c r="J52" s="11">
        <v>25.83</v>
      </c>
      <c r="K52" s="11">
        <f>E52+G52+J52</f>
        <v>25.83</v>
      </c>
      <c r="L52" s="13">
        <v>-91.103438199999999</v>
      </c>
      <c r="M52" s="13">
        <v>30.4049139</v>
      </c>
    </row>
    <row r="53" spans="1:13" s="12" customFormat="1" x14ac:dyDescent="0.25">
      <c r="A53" s="10">
        <v>7378650</v>
      </c>
      <c r="B53" s="10" t="s">
        <v>45</v>
      </c>
      <c r="C53" s="10" t="s">
        <v>14</v>
      </c>
      <c r="D53" s="10" t="s">
        <v>5</v>
      </c>
      <c r="E53" s="11">
        <v>0</v>
      </c>
      <c r="F53" s="10" t="s">
        <v>6</v>
      </c>
      <c r="G53" s="11">
        <v>0</v>
      </c>
      <c r="H53" s="11">
        <v>687777.71699999995</v>
      </c>
      <c r="I53" s="11">
        <v>3369249.12</v>
      </c>
      <c r="J53" s="11">
        <v>35.31</v>
      </c>
      <c r="K53" s="11">
        <f>E53+G53+J53</f>
        <v>35.31</v>
      </c>
      <c r="L53" s="13">
        <v>-91.044548000000006</v>
      </c>
      <c r="M53" s="13">
        <v>30.440746300000001</v>
      </c>
    </row>
    <row r="54" spans="1:13" x14ac:dyDescent="0.25">
      <c r="A54" s="8">
        <v>7380145</v>
      </c>
      <c r="B54" s="8" t="s">
        <v>107</v>
      </c>
      <c r="C54" s="8" t="s">
        <v>14</v>
      </c>
      <c r="D54" s="8" t="s">
        <v>5</v>
      </c>
      <c r="H54" s="4">
        <v>713249.652</v>
      </c>
      <c r="I54" s="4">
        <v>3365044.108</v>
      </c>
      <c r="L54" s="5" t="s">
        <v>108</v>
      </c>
      <c r="M54" s="5" t="s">
        <v>109</v>
      </c>
    </row>
    <row r="55" spans="1:13" x14ac:dyDescent="0.25">
      <c r="A55" s="8">
        <v>7378655</v>
      </c>
      <c r="B55" s="8" t="s">
        <v>110</v>
      </c>
      <c r="C55" s="8" t="s">
        <v>14</v>
      </c>
      <c r="D55" s="8" t="s">
        <v>5</v>
      </c>
      <c r="H55" s="4">
        <v>688569.27300000004</v>
      </c>
      <c r="I55" s="4">
        <v>3367270.4780000001</v>
      </c>
      <c r="L55" s="5" t="s">
        <v>111</v>
      </c>
      <c r="M55" s="5" t="s">
        <v>112</v>
      </c>
    </row>
    <row r="56" spans="1:13" s="12" customFormat="1" x14ac:dyDescent="0.25">
      <c r="A56" s="10">
        <v>7380185</v>
      </c>
      <c r="B56" s="10" t="s">
        <v>46</v>
      </c>
      <c r="C56" s="10" t="s">
        <v>14</v>
      </c>
      <c r="D56" s="10" t="s">
        <v>5</v>
      </c>
      <c r="E56" s="11">
        <v>0</v>
      </c>
      <c r="F56" s="10" t="s">
        <v>6</v>
      </c>
      <c r="G56" s="11">
        <v>0</v>
      </c>
      <c r="H56" s="11">
        <v>705080.40399999998</v>
      </c>
      <c r="I56" s="11">
        <v>3367436.8810000001</v>
      </c>
      <c r="J56" s="11">
        <v>20.9</v>
      </c>
      <c r="K56" s="11">
        <f>E56+G56+J56</f>
        <v>20.9</v>
      </c>
      <c r="L56" s="13">
        <v>-90.864820699999996</v>
      </c>
      <c r="M56" s="13">
        <v>30.421580540000001</v>
      </c>
    </row>
  </sheetData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Junho Song</cp:lastModifiedBy>
  <dcterms:created xsi:type="dcterms:W3CDTF">2023-03-07T04:51:25Z</dcterms:created>
  <dcterms:modified xsi:type="dcterms:W3CDTF">2024-03-23T06:04:17Z</dcterms:modified>
</cp:coreProperties>
</file>